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4275372aae4a65" /></Relationships>
</file>

<file path=xl/workbook.xml><?xml version="1.0" encoding="utf-8"?>
<workbook xmlns="http://schemas.openxmlformats.org/spreadsheetml/2006/main" xmlns:ns1="http://schemas.openxmlformats.org/officeDocument/2006/relationships">
  <sheets>
    <sheet name="Kế hoạch kinh doanh" sheetId="2" ns1:id="Refea060c3d294314"/>
    <sheet name="Kế hoạch tài chính" sheetId="3" ns1:id="R0150f8fd5d734ea3"/>
    <sheet name="Tài chính chi tiết" sheetId="4" ns1:id="R9d4b109f73a249d1" state="hidden"/>
    <sheet name="Doanh thu và P&amp;L" sheetId="5" ns1:id="Rb5ae41ee62ac449e" state="hidden"/>
    <sheet name="Bảng giá &amp; gói dịch vụ" sheetId="6" ns1:id="R583bd7a0ba7647e4"/>
    <sheet name="Từ khóa &amp; đối thủ" sheetId="7" ns1:id="R47f399c1532541ad" state="hidden"/>
    <sheet name="Nhân sự dự án" sheetId="8" ns1:id="Rf9bcfa7e67cb405a"/>
    <sheet name="Đối thủ" sheetId="9" ns1:id="R96ac3a2ad3de4b0b"/>
    <sheet name="Timeline" sheetId="10" ns1:id="R5710a64665ba4826"/>
  </sheets>
</workbook>
</file>

<file path=xl/sharedStrings.xml><?xml version="1.0" encoding="utf-8"?>
<x:sst xmlns:x="http://schemas.openxmlformats.org/spreadsheetml/2006/main"/>
</file>

<file path=xl/styles.xml><?xml version="1.0" encoding="utf-8"?>
<styleSheet xmlns="http://schemas.openxmlformats.org/spreadsheetml/2006/main">
  <numFmts count="22">
    <numFmt numFmtId="164" formatCode="0.00%"/>
    <numFmt numFmtId="165" formatCode="0%"/>
    <numFmt numFmtId="166" formatCode="#,##0&quot; ₫&quot;[$-vi-VN]_);(#,##0&quot; ₫&quot;[$-vi-VN])"/>
    <numFmt numFmtId="167" formatCode="#,##0"/>
    <numFmt numFmtId="168" formatCode="0.0%"/>
    <numFmt numFmtId="169" formatCode="0.00"/>
    <numFmt numFmtId="170" formatCode="0.00%"/>
    <numFmt numFmtId="171" formatCode="0%"/>
    <numFmt numFmtId="172" formatCode="#,##0&quot; ₫&quot;[$-vi-VN]_);(#,##0&quot; ₫&quot;[$-vi-VN])"/>
    <numFmt numFmtId="173" formatCode="#,##0"/>
    <numFmt numFmtId="174" formatCode="0.0%"/>
    <numFmt numFmtId="175" formatCode="mmm-yy"/>
    <numFmt numFmtId="176" formatCode="#,##0"/>
    <numFmt numFmtId="177" formatCode="0%"/>
    <numFmt numFmtId="178" formatCode="#,##0;[Red]\(#,##0\);\-"/>
    <numFmt numFmtId="179" formatCode="0.0%"/>
    <numFmt numFmtId="180" formatCode="#,##0"/>
    <numFmt numFmtId="181" formatCode="mmm-yy"/>
    <numFmt numFmtId="182" formatCode="#,##0"/>
    <numFmt numFmtId="183" formatCode="dd/mm/yyyy"/>
    <numFmt numFmtId="184" formatCode="d-mmm"/>
    <numFmt numFmtId="185" formatCode="dd"/>
  </numFmts>
  <fonts count="50">
    <font>
      <sz val="12"/>
      <color theme="1"/>
      <name val="Calibri"/>
      <family val="2"/>
      <scheme val="minor"/>
    </font>
    <font>
      <sz val="10"/>
      <color rgb="FF000000"/>
      <name val="Calibri"/>
      <family val="2"/>
      <scheme val="minor"/>
    </font>
    <font>
      <b/>
      <sz val="14"/>
      <color rgb="FF270561"/>
      <name val="Calibri"/>
      <family val="2"/>
      <scheme val="minor"/>
    </font>
    <font>
      <b/>
      <sz val="10"/>
      <color rgb="FFD83931"/>
      <name val="Calibri"/>
      <family val="2"/>
      <scheme val="minor"/>
    </font>
    <font>
      <b/>
      <sz val="10"/>
      <color rgb="FF000000"/>
      <name val="Calibri"/>
      <family val="2"/>
      <scheme val="minor"/>
    </font>
    <font>
      <i/>
      <sz val="10"/>
      <color rgb="FF000000"/>
      <name val="Calibri"/>
      <family val="2"/>
      <scheme val="minor"/>
    </font>
    <font>
      <b/>
      <i/>
      <sz val="10"/>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1"/>
      <color rgb="FF000000"/>
      <name val="Arial"/>
      <family val="2"/>
    </font>
    <font>
      <b/>
      <sz val="11"/>
      <color rgb="FFF54A45"/>
      <name val="Arial"/>
      <family val="2"/>
    </font>
    <font>
      <sz val="11"/>
      <color rgb="FF000000"/>
      <name val="Arial"/>
      <family val="2"/>
    </font>
    <font>
      <b/>
      <sz val="11"/>
      <color rgb="FF000000"/>
      <name val="Arial"/>
      <family val="2"/>
    </font>
    <font>
      <i/>
      <sz val="11"/>
      <color rgb="FF595959"/>
      <name val="Arial"/>
      <family val="2"/>
    </font>
    <font>
      <b/>
      <sz val="11"/>
      <color rgb="FF34C724"/>
      <name val="Arial"/>
      <family val="2"/>
    </font>
    <font>
      <sz val="11"/>
      <color rgb="FF000000"/>
      <name val="Arial"/>
      <family val="2"/>
    </font>
    <font>
      <i/>
      <sz val="11"/>
      <color rgb="FF1F2329"/>
      <name val="Arial"/>
      <family val="2"/>
    </font>
    <font>
      <i/>
      <sz val="11"/>
      <color rgb="FFF54A45"/>
      <name val="Arial"/>
      <family val="2"/>
    </font>
    <font>
      <b/>
      <sz val="11"/>
      <color rgb="FF000000"/>
      <name val="Calibri"/>
      <family val="2"/>
    </font>
    <font>
      <b/>
      <sz val="10"/>
      <color rgb="FFFFFFFF"/>
      <name val="Aptos"/>
      <family val="2"/>
    </font>
    <font>
      <b/>
      <sz val="10"/>
      <color rgb="FFFFFFFF"/>
      <name val="Calibri"/>
      <family val="2"/>
    </font>
    <font>
      <sz val="11"/>
      <color rgb="FF000000"/>
      <name val="Calibri"/>
      <family val="2"/>
    </font>
    <font>
      <b/>
      <sz val="10"/>
      <color rgb="FF000000"/>
      <name val="Aptos"/>
      <family val="2"/>
    </font>
    <font>
      <sz val="10"/>
      <color rgb="FF000000"/>
      <name val="Calibri"/>
      <family val="2"/>
    </font>
    <font>
      <sz val="10"/>
      <color rgb="FF000000"/>
      <name val="Aptos"/>
      <family val="2"/>
    </font>
    <font>
      <b/>
      <sz val="10"/>
      <color rgb="FF000000"/>
      <name val="Calibri"/>
      <family val="2"/>
    </font>
    <font>
      <sz val="11"/>
      <color rgb="FF1F2329"/>
      <name val="Calibri"/>
      <family val="2"/>
    </font>
    <font>
      <b/>
      <sz val="10"/>
      <color rgb="FF1F2329"/>
      <name val="Aptos"/>
      <family val="2"/>
    </font>
    <font>
      <b/>
      <sz val="10"/>
      <color rgb="FF1F2329"/>
      <name val="Calibri"/>
      <family val="2"/>
    </font>
    <font>
      <sz val="10"/>
      <color rgb="FF1F2329"/>
      <name val="Calibri"/>
      <family val="2"/>
      <scheme val="minor"/>
    </font>
    <font>
      <b/>
      <sz val="11"/>
      <color rgb="FFFFFFFF"/>
      <name val="Arial"/>
      <family val="2"/>
    </font>
    <font>
      <sz val="11"/>
      <color rgb="FF0000FF"/>
      <name val="Arial"/>
      <family val="2"/>
    </font>
    <font>
      <b/>
      <sz val="11"/>
      <color rgb="FF1F2329"/>
      <name val="Arial"/>
      <family val="2"/>
    </font>
    <font>
      <b/>
      <sz val="10"/>
      <color rgb="FF000000"/>
      <name val="Calibri"/>
      <family val="2"/>
      <scheme val="minor"/>
    </font>
    <font>
      <sz val="10"/>
      <color rgb="FF000000"/>
      <name val="Calibri"/>
      <family val="2"/>
      <scheme val="minor"/>
    </font>
    <font>
      <b/>
      <sz val="10"/>
      <color rgb="FFFFFFFF"/>
      <name val="Calibri"/>
      <family val="2"/>
      <scheme val="minor"/>
    </font>
    <font>
      <b/>
      <sz val="10"/>
      <color rgb="FF112233"/>
      <name val="Calibri"/>
      <family val="2"/>
      <scheme val="minor"/>
    </font>
    <font>
      <sz val="10"/>
      <color rgb="FF112233"/>
      <name val="Calibri"/>
      <family val="2"/>
      <scheme val="minor"/>
    </font>
    <font>
      <sz val="10"/>
      <color rgb="FF9E9E9E"/>
      <name val="Calibri"/>
      <family val="2"/>
      <scheme val="minor"/>
    </font>
    <font>
      <sz val="10"/>
      <color rgb="FF8F959E"/>
      <name val="Calibri"/>
      <family val="2"/>
      <scheme val="minor"/>
    </font>
    <font>
      <sz val="10"/>
      <color rgb="FFFFFFFF"/>
      <name val="Calibri"/>
      <family val="2"/>
      <scheme val="minor"/>
    </font>
    <font>
      <sz val="10"/>
      <color rgb="FF34C724"/>
      <name val="Arial"/>
      <family val="2"/>
      <scheme val="minor"/>
    </font>
    <font>
      <b/>
      <sz val="10"/>
      <color rgb="FFFFFFFF"/>
      <name val="Arial"/>
      <family val="2"/>
    </font>
    <font>
      <sz val="10"/>
      <color rgb="FF1F2329"/>
      <name val="Arial"/>
      <family val="2"/>
    </font>
    <font>
      <sz val="10"/>
      <color rgb="FF1F2329"/>
      <name val="Arial"/>
      <family val="2"/>
      <scheme val="minor"/>
    </font>
    <font>
      <b/>
      <sz val="10"/>
      <color rgb="FF1F2329"/>
      <name val="Arial"/>
      <family val="2"/>
    </font>
    <font>
      <b/>
      <sz val="14"/>
      <color rgb="FF7F6000"/>
      <name val="Arial"/>
      <family val="2"/>
      <scheme val="minor"/>
    </font>
    <font>
      <b/>
      <sz val="10"/>
      <color rgb="FFFFFFFF"/>
      <name val="Arial"/>
      <family val="2"/>
      <scheme val="minor"/>
    </font>
    <font>
      <b/>
      <sz val="14"/>
      <color rgb="FFFFFFFF"/>
      <name val="Arial"/>
      <family val="2"/>
      <scheme val="minor"/>
    </font>
  </fonts>
  <fills count="51">
    <fill>
      <patternFill patternType="solid"/>
    </fill>
    <fill>
      <patternFill patternType="gray125"/>
    </fill>
    <fill>
      <patternFill patternType="solid">
        <fgColor rgb="FFFAF1D1"/>
      </patternFill>
    </fill>
    <fill>
      <patternFill patternType="solid">
        <fgColor rgb="FFFFFFFF"/>
      </patternFill>
    </fill>
    <fill>
      <patternFill patternType="solid">
        <fgColor rgb="FFFED4A4"/>
      </patternFill>
    </fill>
    <fill>
      <patternFill patternType="solid">
        <fgColor rgb="FF7EDAFB"/>
      </patternFill>
    </fill>
    <fill>
      <patternFill patternType="solid">
        <fgColor rgb="FFFFFFFF"/>
      </patternFill>
    </fill>
    <fill>
      <patternFill patternType="solid">
        <fgColor rgb="FF34C724"/>
      </patternFill>
    </fill>
    <fill>
      <patternFill patternType="solid">
        <fgColor rgb="FFFAF1D1"/>
      </patternFill>
    </fill>
    <fill>
      <patternFill patternType="solid">
        <fgColor rgb="FFFFF258"/>
      </patternFill>
    </fill>
    <fill>
      <patternFill patternType="solid">
        <fgColor rgb="FFECE2FE"/>
      </patternFill>
    </fill>
    <fill>
      <patternFill patternType="solid">
        <fgColor rgb="FFFDDDEF"/>
      </patternFill>
    </fill>
    <fill>
      <patternFill patternType="solid">
        <fgColor rgb="FF8EE085"/>
      </patternFill>
    </fill>
    <fill>
      <patternFill patternType="solid">
        <fgColor rgb="FFFFFFFF"/>
      </patternFill>
    </fill>
    <fill>
      <patternFill patternType="solid">
        <fgColor rgb="FFFED4A4"/>
      </patternFill>
    </fill>
    <fill>
      <patternFill patternType="solid">
        <fgColor rgb="FF34C724"/>
      </patternFill>
    </fill>
    <fill>
      <patternFill patternType="solid">
        <fgColor rgb="FFFAF1D1"/>
      </patternFill>
    </fill>
    <fill>
      <patternFill patternType="solid">
        <fgColor rgb="FFFFF258"/>
      </patternFill>
    </fill>
    <fill>
      <patternFill patternType="solid">
        <fgColor rgb="FFECE2FE"/>
      </patternFill>
    </fill>
    <fill>
      <patternFill patternType="solid">
        <fgColor rgb="FFFDDDEF"/>
      </patternFill>
    </fill>
    <fill>
      <patternFill patternType="solid">
        <fgColor rgb="FFFFFFFF"/>
      </patternFill>
    </fill>
    <fill>
      <patternFill patternType="solid">
        <fgColor rgb="FF8EE085"/>
      </patternFill>
    </fill>
    <fill>
      <patternFill patternType="solid">
        <fgColor rgb="FFFFF258"/>
      </patternFill>
    </fill>
    <fill>
      <patternFill patternType="solid">
        <fgColor rgb="FF002060"/>
      </patternFill>
    </fill>
    <fill>
      <patternFill patternType="solid">
        <fgColor rgb="FFFFFFFF"/>
      </patternFill>
    </fill>
    <fill>
      <patternFill patternType="solid">
        <fgColor rgb="FFFFF2CC"/>
      </patternFill>
    </fill>
    <fill>
      <patternFill patternType="solid">
        <fgColor rgb="FFFBBFBC"/>
      </patternFill>
    </fill>
    <fill>
      <patternFill patternType="solid">
        <fgColor rgb="FFFAF1D1"/>
      </patternFill>
    </fill>
    <fill>
      <patternFill patternType="solid">
        <fgColor rgb="FFF8F9FA"/>
      </patternFill>
    </fill>
    <fill>
      <patternFill patternType="solid">
        <fgColor rgb="FFF76964"/>
      </patternFill>
    </fill>
    <fill>
      <patternFill patternType="solid">
        <fgColor rgb="FFEAF1DD"/>
      </patternFill>
    </fill>
    <fill>
      <patternFill patternType="solid">
        <fgColor rgb="FF1F2A44"/>
      </patternFill>
    </fill>
    <fill>
      <patternFill patternType="solid">
        <fgColor rgb="FFED7D31"/>
      </patternFill>
    </fill>
    <fill>
      <patternFill patternType="solid">
        <fgColor rgb="FFFFFFFF"/>
      </patternFill>
    </fill>
    <fill>
      <patternFill patternType="solid">
        <fgColor rgb="FFD9F5D6"/>
      </patternFill>
    </fill>
    <fill>
      <patternFill patternType="solid">
        <fgColor rgb="FFFFFFFF"/>
      </patternFill>
    </fill>
    <fill>
      <patternFill patternType="solid">
        <fgColor rgb="FFFFF258"/>
      </patternFill>
    </fill>
    <fill>
      <patternFill patternType="solid">
        <fgColor rgb="FF8EE085"/>
      </patternFill>
    </fill>
    <fill>
      <patternFill patternType="solid">
        <fgColor rgb="FFFAF1D1"/>
      </patternFill>
    </fill>
    <fill>
      <patternFill patternType="solid">
        <fgColor rgb="FF4E83FD"/>
      </patternFill>
    </fill>
    <fill>
      <patternFill patternType="solid">
        <fgColor rgb="FFFFF3CC"/>
      </patternFill>
    </fill>
    <fill>
      <patternFill patternType="solid">
        <fgColor rgb="FFD8EAD3"/>
      </patternFill>
    </fill>
    <fill>
      <patternFill patternType="solid">
        <fgColor rgb="FFD8D1E8"/>
      </patternFill>
    </fill>
    <fill>
      <patternFill patternType="solid">
        <fgColor rgb="FFFFFFFF"/>
      </patternFill>
    </fill>
    <fill>
      <patternFill patternType="solid">
        <fgColor rgb="FFF4CCCC"/>
      </patternFill>
    </fill>
    <fill>
      <patternFill patternType="solid">
        <fgColor rgb="FFE06666"/>
      </patternFill>
    </fill>
    <fill>
      <patternFill patternType="solid">
        <fgColor rgb="FFCB1B00"/>
      </patternFill>
    </fill>
    <fill>
      <patternFill patternType="solid">
        <fgColor rgb="FFFFF2CC"/>
      </patternFill>
    </fill>
    <fill>
      <patternFill patternType="solid">
        <fgColor rgb="FF34C724"/>
      </patternFill>
    </fill>
    <fill>
      <patternFill patternType="solid">
        <fgColor rgb="FF1F2A44"/>
      </patternFill>
    </fill>
    <fill>
      <patternFill patternType="solid">
        <fgColor rgb="FFF2F2F2"/>
      </patternFill>
    </fill>
  </fills>
  <borders count="39">
    <border>
      <left/>
      <right/>
      <top/>
      <bottom/>
      <diagonal/>
    </border>
    <border>
      <left style="hair">
        <color rgb="FF1F2329"/>
      </left>
      <right style="hair">
        <color rgb="FF1F2329"/>
      </right>
      <top style="hair">
        <color rgb="FF1F2329"/>
      </top>
      <bottom style="hair">
        <color rgb="FF1F2329"/>
      </bottom>
      <diagonal/>
    </border>
    <border>
      <left style="hair">
        <color rgb="FF1F2329"/>
      </left>
      <right style="hair">
        <color rgb="FF1F2329"/>
      </right>
      <top style="hair">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right style="thin">
        <color rgb="FF1F2329"/>
      </right>
      <top style="thin">
        <color rgb="FF1F2329"/>
      </top>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right/>
      <top style="thin">
        <color rgb="FF1F2329"/>
      </top>
      <bottom/>
      <diagonal/>
    </border>
    <border>
      <left style="thin">
        <color rgb="FF1F2329"/>
      </left>
      <right/>
      <top/>
      <bottom/>
      <diagonal/>
    </border>
    <border>
      <left style="thin">
        <color rgb="FF1F2329"/>
      </left>
      <right/>
      <top/>
      <bottom style="thin">
        <color rgb="FF1F2329"/>
      </bottom>
      <diagonal/>
    </border>
    <border>
      <left/>
      <right/>
      <top/>
      <bottom style="thin">
        <color rgb="FF1F2329"/>
      </bottom>
      <diagonal/>
    </border>
    <border>
      <left/>
      <right/>
      <top/>
      <bottom style="thin">
        <color rgb="FF1F2329"/>
      </bottom>
      <diagonal/>
    </border>
    <border>
      <left style="thin">
        <color rgb="FF1F2329"/>
      </left>
      <right/>
      <top/>
      <bottom style="thin">
        <color rgb="FF1F2329"/>
      </bottom>
      <diagonal/>
    </border>
    <border>
      <left style="thin">
        <color rgb="FFD9D9D9"/>
      </left>
      <right style="thin">
        <color rgb="FFD9D9D9"/>
      </right>
      <top style="thin">
        <color rgb="FFD9D9D9"/>
      </top>
      <bottom style="thin">
        <color rgb="FFD9D9D9"/>
      </bottom>
      <diagonal/>
    </border>
  </borders>
  <cellStyleXfs count="1">
    <xf numFmtId="0" fontId="0" fillId="3" borderId="0" applyNumberFormat="0" applyFont="0" applyFill="1" applyBorder="0" applyAlignment="1" applyProtection="0"/>
  </cellStyleXfs>
  <cellXfs count="540">
    <xf numFmtId="0" fontId="0" fillId="3" borderId="0" xfId="0" applyNumberFormat="0" applyFont="0" applyFill="1" applyBorder="0" applyAlignment="0" applyProtection="0">
      <alignment vertical="center"/>
    </xf>
    <xf numFmtId="0" fontId="1" fillId="3" borderId="0" xfId="0" applyNumberFormat="0" applyFont="1" applyFill="1" applyBorder="0" applyAlignment="1" applyProtection="0">
      <alignment vertical="center"/>
    </xf>
    <xf numFmtId="0" fontId="2" fillId="2" borderId="0" xfId="0" applyNumberFormat="0" applyFont="1" applyFill="1" applyBorder="0" applyAlignment="1" applyProtection="0">
      <alignment horizontal="center" vertical="center"/>
    </xf>
    <xf numFmtId="0" fontId="2" fillId="2" borderId="0" xfId="0" applyNumberFormat="0" applyFont="1" applyFill="1" applyBorder="0" applyAlignment="1" applyProtection="0">
      <alignment horizontal="center" vertical="center"/>
    </xf>
    <xf numFmtId="0" fontId="1" fillId="3" borderId="0" xfId="0" applyNumberFormat="0" applyFont="1" applyFill="1" applyBorder="0" applyAlignment="1" applyProtection="0">
      <alignment vertical="top"/>
    </xf>
    <xf numFmtId="0" fontId="1" fillId="3" borderId="0" xfId="0" applyNumberFormat="0" applyFont="1" applyFill="1" applyBorder="0" applyAlignment="1" applyProtection="0">
      <alignment vertical="center"/>
    </xf>
    <xf numFmtId="0" fontId="1" fillId="3" borderId="0" xfId="0" applyNumberFormat="0" applyFont="1" applyFill="1" applyBorder="0" applyAlignment="1" applyProtection="0">
      <alignment vertical="center"/>
    </xf>
    <xf numFmtId="0" fontId="1" fillId="3" borderId="0" xfId="0" applyNumberFormat="0" applyFont="1" applyFill="1" applyBorder="0" applyAlignment="1" applyProtection="0">
      <alignment vertical="center"/>
    </xf>
    <xf numFmtId="0" fontId="3" fillId="3" borderId="1" xfId="0" applyNumberFormat="0" applyFont="1" applyFill="1" applyBorder="0" applyAlignment="1" applyProtection="0">
      <alignment vertical="center"/>
    </xf>
    <xf numFmtId="0" fontId="1" fillId="3" borderId="1" xfId="0" applyNumberFormat="0" applyFont="1" applyFill="1" applyBorder="0" applyAlignment="1" applyProtection="0">
      <alignment vertical="center"/>
    </xf>
    <xf numFmtId="0" fontId="1" fillId="3" borderId="1" xfId="0" applyNumberFormat="0" applyFont="1" applyFill="1" applyBorder="0" applyAlignment="1" applyProtection="0">
      <alignment vertical="center" wrapText="1"/>
    </xf>
    <xf numFmtId="0" fontId="4" fillId="3" borderId="1" xfId="0" applyNumberFormat="0" applyFont="1" applyFill="1" applyBorder="0" applyAlignment="1" applyProtection="0">
      <alignment vertical="center"/>
    </xf>
    <xf numFmtId="0" fontId="1" fillId="3" borderId="1" xfId="0" applyNumberFormat="0" applyFont="1" applyFill="1" applyBorder="0" applyAlignment="1" applyProtection="0">
      <alignment vertical="center"/>
    </xf>
    <xf numFmtId="0" fontId="1" fillId="3" borderId="0" xfId="0" applyNumberFormat="0" applyFont="1" applyFill="1" applyBorder="0" applyAlignment="1" applyProtection="0">
      <alignment vertical="top" wrapText="1"/>
    </xf>
    <xf numFmtId="0" fontId="1" fillId="3" borderId="2" xfId="0" applyNumberFormat="0" applyFont="1" applyFill="1" applyBorder="0" applyAlignment="1" applyProtection="0">
      <alignment vertical="center"/>
    </xf>
    <xf numFmtId="0" fontId="1" fillId="3" borderId="2" xfId="0" applyNumberFormat="0" applyFont="1" applyFill="1" applyBorder="0" applyAlignment="1" applyProtection="0">
      <alignment vertical="center" wrapText="1"/>
    </xf>
    <xf numFmtId="0" fontId="5" fillId="3" borderId="1" xfId="0" applyNumberFormat="0" applyFont="1" applyFill="1" applyBorder="0" applyAlignment="1" applyProtection="0">
      <alignment vertical="center" wrapText="1"/>
    </xf>
    <xf numFmtId="0" fontId="5" fillId="3" borderId="1" xfId="0" applyNumberFormat="0" applyFont="1" applyFill="1" applyBorder="0" applyAlignment="1" applyProtection="0">
      <alignment vertical="center"/>
    </xf>
    <xf numFmtId="0" fontId="4" fillId="3" borderId="2" xfId="0" applyNumberFormat="0" applyFont="1" applyFill="1" applyBorder="0" applyAlignment="1" applyProtection="0">
      <alignment vertical="center" wrapText="1"/>
    </xf>
    <xf numFmtId="0" fontId="3" fillId="3" borderId="1" xfId="0" applyNumberFormat="0" applyFont="1" applyFill="1" applyBorder="0" applyAlignment="1" applyProtection="0">
      <alignment vertical="center" wrapText="1"/>
    </xf>
    <xf numFmtId="0" fontId="6" fillId="3" borderId="1" xfId="0" applyNumberFormat="0" applyFont="1" applyFill="1" applyBorder="0" applyAlignment="1" applyProtection="0">
      <alignment vertical="center"/>
    </xf>
    <xf numFmtId="0" fontId="3" fillId="3" borderId="2" xfId="0" applyNumberFormat="0" applyFont="1" applyFill="1" applyBorder="0" applyAlignment="1" applyProtection="0">
      <alignment vertical="center"/>
    </xf>
    <xf numFmtId="0" fontId="1" fillId="3" borderId="2" xfId="0" applyNumberFormat="0" applyFont="1" applyFill="1" applyBorder="0" applyAlignment="1" applyProtection="0">
      <alignment vertical="center"/>
    </xf>
    <xf numFmtId="0" fontId="7" fillId="2" borderId="1" xfId="0" applyNumberFormat="0" applyFont="1" applyFill="1" applyBorder="0" applyAlignment="1" applyProtection="0">
      <alignment horizontal="center" vertical="center"/>
    </xf>
    <xf numFmtId="0" fontId="7" fillId="2" borderId="1" xfId="0" applyNumberFormat="0" applyFont="1" applyFill="1" applyBorder="0" applyAlignment="1" applyProtection="0">
      <alignment horizontal="center" vertical="top"/>
    </xf>
    <xf numFmtId="0" fontId="7" fillId="2" borderId="1" xfId="0" applyNumberFormat="0" applyFont="1" applyFill="1" applyBorder="0" applyAlignment="1" applyProtection="0">
      <alignment horizontal="center" vertical="top"/>
    </xf>
    <xf numFmtId="0" fontId="7" fillId="3" borderId="0" xfId="0" applyNumberFormat="0" applyFont="1" applyFill="1" applyBorder="0" applyAlignment="1" applyProtection="0">
      <alignment horizontal="center" vertical="top"/>
    </xf>
    <xf numFmtId="0" fontId="7" fillId="3" borderId="0" xfId="0" applyNumberFormat="0" applyFont="1" applyFill="1" applyBorder="0" applyAlignment="1" applyProtection="0">
      <alignment horizontal="center" vertical="center"/>
    </xf>
    <xf numFmtId="0" fontId="7" fillId="3" borderId="1" xfId="0" applyNumberFormat="0" applyFont="1" applyFill="1" applyBorder="0" applyAlignment="1" applyProtection="0">
      <alignment vertical="top"/>
    </xf>
    <xf numFmtId="0" fontId="7" fillId="3" borderId="1" xfId="0" applyNumberFormat="0" applyFont="1" applyFill="1" applyBorder="0" applyAlignment="1" applyProtection="0">
      <alignment vertical="top" wrapText="1"/>
    </xf>
    <xf numFmtId="0" fontId="7" fillId="3" borderId="1" xfId="0" applyNumberFormat="0" applyFont="1" applyFill="1" applyBorder="0" applyAlignment="1" applyProtection="0">
      <alignment vertical="top" wrapText="1"/>
    </xf>
    <xf numFmtId="0" fontId="7" fillId="3" borderId="0" xfId="0" applyNumberFormat="0" applyFont="1" applyFill="1" applyBorder="0" applyAlignment="1" applyProtection="0">
      <alignment vertical="top" wrapText="1"/>
    </xf>
    <xf numFmtId="0" fontId="7" fillId="3" borderId="0" xfId="0" applyNumberFormat="0" applyFont="1" applyFill="1" applyBorder="0" applyAlignment="1" applyProtection="0">
      <alignment vertical="top"/>
    </xf>
    <xf numFmtId="0" fontId="1" fillId="3" borderId="1" xfId="0" applyNumberFormat="0" applyFont="1" applyFill="1" applyBorder="0" applyAlignment="1" applyProtection="0">
      <alignment vertical="top"/>
    </xf>
    <xf numFmtId="0" fontId="1" fillId="3" borderId="1" xfId="0" applyNumberFormat="0" applyFont="1" applyFill="1" applyBorder="0" applyAlignment="1" applyProtection="0">
      <alignment vertical="top" wrapText="1"/>
    </xf>
    <xf numFmtId="0" fontId="1" fillId="3" borderId="0" xfId="0" applyNumberFormat="0" applyFont="1" applyFill="1" applyBorder="0" applyAlignment="1" applyProtection="0">
      <alignment vertical="top"/>
    </xf>
    <xf numFmtId="0" fontId="7" fillId="3" borderId="1" xfId="0" applyNumberFormat="0" applyFont="1" applyFill="1" applyBorder="0" applyAlignment="1" applyProtection="0">
      <alignment vertical="center"/>
    </xf>
    <xf numFmtId="0" fontId="1" fillId="3" borderId="1" xfId="0" applyNumberFormat="0" applyFont="1" applyFill="1" applyBorder="0" applyAlignment="1" applyProtection="0">
      <alignment vertical="center" wrapText="1"/>
    </xf>
    <xf numFmtId="0" fontId="1" fillId="3" borderId="0" xfId="0" applyNumberFormat="0" applyFont="1" applyFill="1" applyBorder="0" applyAlignment="1" applyProtection="0">
      <alignment vertical="top" wrapText="1"/>
    </xf>
    <xf numFmtId="0" fontId="1" fillId="3" borderId="0" xfId="0" applyNumberFormat="0" applyFont="1" applyFill="1" applyBorder="0" applyAlignment="1" applyProtection="0">
      <alignment vertical="center" wrapText="1"/>
    </xf>
    <xf numFmtId="0" fontId="1" fillId="3" borderId="1" xfId="0" applyNumberFormat="0" applyFont="1" applyFill="1" applyBorder="0" applyAlignment="1" applyProtection="0">
      <alignment vertical="top" wrapText="1"/>
    </xf>
    <xf numFmtId="0" fontId="1" fillId="3" borderId="1" xfId="0" applyNumberFormat="0" applyFont="1" applyFill="1" applyBorder="0" applyAlignment="1" applyProtection="0">
      <alignment vertical="center"/>
    </xf>
    <xf numFmtId="0" fontId="4" fillId="3" borderId="1" xfId="0" applyNumberFormat="0" applyFont="1" applyFill="1" applyBorder="0" applyAlignment="1" applyProtection="0">
      <alignment vertical="top" wrapText="1"/>
    </xf>
    <xf numFmtId="0" fontId="4" fillId="3" borderId="1" xfId="0" applyNumberFormat="0" applyFont="1" applyFill="1" applyBorder="0" applyAlignment="1" applyProtection="0">
      <alignment vertical="center" wrapText="1"/>
    </xf>
    <xf numFmtId="0" fontId="4" fillId="3" borderId="1" xfId="0" applyNumberFormat="0" applyFont="1" applyFill="1" applyBorder="0" applyAlignment="1" applyProtection="0">
      <alignment vertical="center"/>
    </xf>
    <xf numFmtId="0" fontId="6" fillId="3" borderId="1" xfId="0" applyNumberFormat="0" applyFont="1" applyFill="1" applyBorder="0" applyAlignment="1" applyProtection="0">
      <alignment vertical="center" wrapText="1"/>
    </xf>
    <xf numFmtId="0" fontId="6" fillId="3" borderId="1" xfId="0" applyNumberFormat="0" applyFont="1" applyFill="1" applyBorder="0" applyAlignment="1" applyProtection="0">
      <alignment vertical="center" wrapText="1"/>
    </xf>
    <xf numFmtId="0" fontId="3" fillId="3" borderId="0" xfId="0" applyNumberFormat="0" applyFont="1" applyFill="1" applyBorder="0" applyAlignment="1" applyProtection="0">
      <alignment vertical="center"/>
    </xf>
    <xf numFmtId="0" fontId="9" fillId="4" borderId="3" xfId="0" applyNumberFormat="0" applyFont="1" applyFill="1" applyBorder="0" applyAlignment="1" applyProtection="0">
      <alignment horizontal="left" vertical="center"/>
    </xf>
    <xf numFmtId="0" fontId="10" fillId="5" borderId="3" xfId="0" applyNumberFormat="0" applyFont="1" applyFill="1" applyBorder="0" applyAlignment="1" applyProtection="0">
      <alignment horizontal="center" vertical="top"/>
    </xf>
    <xf numFmtId="0" fontId="10" fillId="5" borderId="4" xfId="0" applyNumberFormat="0" applyFont="1" applyFill="1" applyBorder="0" applyAlignment="1" applyProtection="0">
      <alignment horizontal="center" vertical="top"/>
    </xf>
    <xf numFmtId="0" fontId="4" fillId="5" borderId="0" xfId="0" applyNumberFormat="0" applyFont="1" applyFill="1" applyBorder="0" applyAlignment="1" applyProtection="0">
      <alignment horizontal="center" vertical="center"/>
    </xf>
    <xf numFmtId="0" fontId="11" fillId="6" borderId="3" xfId="0" applyNumberFormat="0" applyFont="1" applyFill="1" applyBorder="0" applyAlignment="1" applyProtection="0">
      <alignment horizontal="left" vertical="top" wrapText="1"/>
    </xf>
    <xf numFmtId="0" fontId="11" fillId="6" borderId="5" xfId="0" applyNumberFormat="0" applyFont="1" applyFill="1" applyBorder="0" applyAlignment="1" applyProtection="0">
      <alignment horizontal="left" vertical="top" wrapText="1"/>
    </xf>
    <xf numFmtId="0" fontId="11" fillId="6" borderId="6" xfId="0" applyNumberFormat="0" applyFont="1" applyFill="1" applyBorder="0" applyAlignment="1" applyProtection="0">
      <alignment horizontal="left" vertical="top" wrapText="1"/>
    </xf>
    <xf numFmtId="0" fontId="10" fillId="4" borderId="3" xfId="0" applyNumberFormat="0" applyFont="1" applyFill="1" applyBorder="0" applyAlignment="1" applyProtection="0">
      <alignment horizontal="left" vertical="top"/>
    </xf>
    <xf numFmtId="0" fontId="10" fillId="7" borderId="6" xfId="0" applyNumberFormat="0" applyFont="1" applyFill="1" applyBorder="0" applyAlignment="1" applyProtection="0">
      <alignment horizontal="center" vertical="top"/>
    </xf>
    <xf numFmtId="0" fontId="10" fillId="7" borderId="3" xfId="0" applyNumberFormat="0" applyFont="1" applyFill="1" applyBorder="0" applyAlignment="1" applyProtection="0">
      <alignment horizontal="center" vertical="top"/>
    </xf>
    <xf numFmtId="0" fontId="10" fillId="7" borderId="3" xfId="0" applyNumberFormat="0" applyFont="1" applyFill="1" applyBorder="0" applyAlignment="1" applyProtection="0">
      <alignment horizontal="center" vertical="top" wrapText="1"/>
    </xf>
    <xf numFmtId="0" fontId="10" fillId="7" borderId="7" xfId="0" applyNumberFormat="0" applyFont="1" applyFill="1" applyBorder="0" applyAlignment="1" applyProtection="0">
      <alignment horizontal="center" vertical="top"/>
    </xf>
    <xf numFmtId="0" fontId="10" fillId="8" borderId="6" xfId="0" applyNumberFormat="0" applyFont="1" applyFill="1" applyBorder="0" applyAlignment="1" applyProtection="0">
      <alignment horizontal="left" vertical="top" wrapText="1"/>
    </xf>
    <xf numFmtId="0" fontId="10" fillId="8" borderId="6" xfId="0" applyNumberFormat="0" applyFont="1" applyFill="1" applyBorder="0" applyAlignment="1" applyProtection="0">
      <alignment horizontal="left" vertical="top" wrapText="1"/>
    </xf>
    <xf numFmtId="0" fontId="10" fillId="8" borderId="8" xfId="0" applyNumberFormat="0" applyFont="1" applyFill="1" applyBorder="0" applyAlignment="1" applyProtection="0">
      <alignment horizontal="left" vertical="top" wrapText="1"/>
    </xf>
    <xf numFmtId="0" fontId="10" fillId="9" borderId="3" xfId="0" applyNumberFormat="0" applyFont="1" applyFill="1" applyBorder="0" applyAlignment="1" applyProtection="0">
      <alignment horizontal="center" vertical="center"/>
    </xf>
    <xf numFmtId="0" fontId="10" fillId="10" borderId="3" xfId="0" applyNumberFormat="0" applyFont="1" applyFill="1" applyBorder="0" applyAlignment="1" applyProtection="0">
      <alignment horizontal="center" vertical="center"/>
    </xf>
    <xf numFmtId="0" fontId="10" fillId="11" borderId="3" xfId="0" applyNumberFormat="0" applyFont="1" applyFill="1" applyBorder="0" applyAlignment="1" applyProtection="0">
      <alignment horizontal="center" vertical="center" wrapText="1"/>
    </xf>
    <xf numFmtId="0" fontId="13" fillId="4" borderId="3" xfId="0" applyNumberFormat="0" applyFont="1" applyFill="1" applyBorder="0" applyAlignment="1" applyProtection="0">
      <alignment horizontal="left" vertical="top"/>
    </xf>
    <xf numFmtId="0" fontId="13" fillId="8" borderId="6" xfId="0" applyNumberFormat="0" applyFont="1" applyFill="1" applyBorder="0" applyAlignment="1" applyProtection="0">
      <alignment vertical="center"/>
    </xf>
    <xf numFmtId="0" fontId="13" fillId="8" borderId="3" xfId="0" applyNumberFormat="0" applyFont="1" applyFill="1" applyBorder="0" applyAlignment="1" applyProtection="0">
      <alignment horizontal="left" vertical="center"/>
    </xf>
    <xf numFmtId="0" fontId="14" fillId="8" borderId="3" xfId="0" applyNumberFormat="0" applyFont="1" applyFill="1" applyBorder="0" applyAlignment="1" applyProtection="0">
      <alignment vertical="center" wrapText="1"/>
    </xf>
    <xf numFmtId="164" fontId="12" fillId="8" borderId="3" xfId="0" applyNumberFormat="1" applyFont="1" applyFill="1" applyBorder="0" applyAlignment="1" applyProtection="0">
      <alignment vertical="top"/>
    </xf>
    <xf numFmtId="0" fontId="12" fillId="8" borderId="3" xfId="0" applyNumberFormat="0" applyFont="1" applyFill="1" applyBorder="0" applyAlignment="1" applyProtection="0">
      <alignment vertical="top"/>
    </xf>
    <xf numFmtId="0" fontId="14" fillId="8" borderId="4" xfId="0" applyNumberFormat="0" applyFont="1" applyFill="1" applyBorder="0" applyAlignment="1" applyProtection="0">
      <alignment vertical="center" wrapText="1"/>
    </xf>
    <xf numFmtId="164" fontId="10" fillId="8" borderId="4" xfId="0" applyNumberFormat="1" applyFont="1" applyFill="1" applyBorder="0" applyAlignment="1" applyProtection="0">
      <alignment horizontal="center" vertical="top"/>
    </xf>
    <xf numFmtId="164" fontId="10" fillId="8" borderId="4" xfId="0" applyNumberFormat="1" applyFont="1" applyFill="1" applyBorder="0" applyAlignment="1" applyProtection="0">
      <alignment horizontal="center" vertical="top"/>
    </xf>
    <xf numFmtId="0" fontId="10" fillId="7" borderId="6" xfId="0" applyNumberFormat="0" applyFont="1" applyFill="1" applyBorder="0" applyAlignment="1" applyProtection="0">
      <alignment vertical="top"/>
    </xf>
    <xf numFmtId="0" fontId="10" fillId="7" borderId="5" xfId="0" applyNumberFormat="0" applyFont="1" applyFill="1" applyBorder="0" applyAlignment="1" applyProtection="0">
      <alignment vertical="top"/>
    </xf>
    <xf numFmtId="0" fontId="15" fillId="7" borderId="3" xfId="0" applyNumberFormat="0" applyFont="1" applyFill="1" applyBorder="0" applyAlignment="1" applyProtection="0">
      <alignment vertical="top" wrapText="1"/>
    </xf>
    <xf numFmtId="166" fontId="10" fillId="7" borderId="9" xfId="0" applyNumberFormat="1" applyFont="1" applyFill="1" applyBorder="0" applyAlignment="1" applyProtection="0">
      <alignment horizontal="center" vertical="top"/>
    </xf>
    <xf numFmtId="166" fontId="10" fillId="7" borderId="4" xfId="0" applyNumberFormat="1" applyFont="1" applyFill="1" applyBorder="0" applyAlignment="1" applyProtection="0">
      <alignment horizontal="center" vertical="top"/>
    </xf>
    <xf numFmtId="0" fontId="12" fillId="3" borderId="6" xfId="0" applyNumberFormat="0" applyFont="1" applyFill="1" applyBorder="0" applyAlignment="1" applyProtection="0">
      <alignment vertical="top"/>
    </xf>
    <xf numFmtId="166" fontId="12" fillId="3" borderId="5" xfId="0" applyNumberFormat="1" applyFont="1" applyFill="1" applyBorder="0" applyAlignment="1" applyProtection="0">
      <alignment vertical="top"/>
    </xf>
    <xf numFmtId="0" fontId="14" fillId="3" borderId="3" xfId="0" applyNumberFormat="0" applyFont="1" applyFill="1" applyBorder="0" applyAlignment="1" applyProtection="0">
      <alignment vertical="top" wrapText="1"/>
    </xf>
    <xf numFmtId="166" fontId="12" fillId="3" borderId="6" xfId="0" applyNumberFormat="1" applyFont="1" applyFill="1" applyBorder="0" applyAlignment="1" applyProtection="0">
      <alignment vertical="top"/>
    </xf>
    <xf numFmtId="166" fontId="12" fillId="3" borderId="3" xfId="0" applyNumberFormat="1" applyFont="1" applyFill="1" applyBorder="0" applyAlignment="1" applyProtection="0">
      <alignment vertical="top"/>
    </xf>
    <xf numFmtId="0" fontId="13" fillId="4" borderId="3" xfId="0" applyNumberFormat="0" applyFont="1" applyFill="1" applyBorder="0" applyAlignment="1" applyProtection="0">
      <alignment horizontal="left" vertical="top"/>
    </xf>
    <xf numFmtId="0" fontId="16" fillId="3" borderId="6" xfId="0" applyNumberFormat="0" applyFont="1" applyFill="1" applyBorder="0" applyAlignment="1" applyProtection="0">
      <alignment vertical="top" wrapText="1"/>
    </xf>
    <xf numFmtId="0" fontId="16" fillId="3" borderId="6" xfId="0" applyNumberFormat="0" applyFont="1" applyFill="1" applyBorder="0" applyAlignment="1" applyProtection="0">
      <alignment vertical="top"/>
    </xf>
    <xf numFmtId="0" fontId="12" fillId="3" borderId="10" xfId="0" applyNumberFormat="0" applyFont="1" applyFill="1" applyBorder="0" applyAlignment="1" applyProtection="0">
      <alignment vertical="top"/>
    </xf>
    <xf numFmtId="0" fontId="12" fillId="3" borderId="7" xfId="0" applyNumberFormat="0" applyFont="1" applyFill="1" applyBorder="0" applyAlignment="1" applyProtection="0">
      <alignment vertical="top"/>
    </xf>
    <xf numFmtId="167" fontId="12" fillId="6" borderId="5" xfId="0" applyNumberFormat="1" applyFont="1" applyFill="1" applyBorder="0" applyAlignment="1" applyProtection="0">
      <alignment vertical="top"/>
    </xf>
    <xf numFmtId="167" fontId="12" fillId="3" borderId="6" xfId="0" applyNumberFormat="1" applyFont="1" applyFill="1" applyBorder="0" applyAlignment="1" applyProtection="0">
      <alignment vertical="top"/>
    </xf>
    <xf numFmtId="167" fontId="12" fillId="3" borderId="3" xfId="0" applyNumberFormat="1" applyFont="1" applyFill="1" applyBorder="0" applyAlignment="1" applyProtection="0">
      <alignment vertical="top"/>
    </xf>
    <xf numFmtId="0" fontId="10" fillId="4" borderId="3" xfId="0" applyNumberFormat="0" applyFont="1" applyFill="1" applyBorder="0" applyAlignment="1" applyProtection="0">
      <alignment horizontal="left" vertical="top"/>
    </xf>
    <xf numFmtId="0" fontId="10" fillId="12" borderId="6" xfId="0" applyNumberFormat="0" applyFont="1" applyFill="1" applyBorder="0" applyAlignment="1" applyProtection="0">
      <alignment vertical="top"/>
    </xf>
    <xf numFmtId="166" fontId="10" fillId="12" borderId="3" xfId="0" applyNumberFormat="1" applyFont="1" applyFill="1" applyBorder="0" applyAlignment="1" applyProtection="0">
      <alignment vertical="top"/>
    </xf>
    <xf numFmtId="0" fontId="14" fillId="12" borderId="7" xfId="0" applyNumberFormat="0" applyFont="1" applyFill="1" applyBorder="0" applyAlignment="1" applyProtection="0">
      <alignment vertical="top" wrapText="1"/>
    </xf>
    <xf numFmtId="0" fontId="12" fillId="12" borderId="3" xfId="0" applyNumberFormat="0" applyFont="1" applyFill="1" applyBorder="0" applyAlignment="1" applyProtection="0">
      <alignment vertical="top"/>
    </xf>
    <xf numFmtId="0" fontId="14" fillId="6" borderId="3" xfId="0" applyNumberFormat="0" applyFont="1" applyFill="1" applyBorder="0" applyAlignment="1" applyProtection="0">
      <alignment vertical="top" wrapText="1"/>
    </xf>
    <xf numFmtId="0" fontId="12" fillId="6" borderId="3" xfId="0" applyNumberFormat="0" applyFont="1" applyFill="1" applyBorder="0" applyAlignment="1" applyProtection="0">
      <alignment vertical="top"/>
    </xf>
    <xf numFmtId="0" fontId="14" fillId="12" borderId="3" xfId="0" applyNumberFormat="0" applyFont="1" applyFill="1" applyBorder="0" applyAlignment="1" applyProtection="0">
      <alignment vertical="top" wrapText="1"/>
    </xf>
    <xf numFmtId="0" fontId="12" fillId="3" borderId="3" xfId="0" applyNumberFormat="0" applyFont="1" applyFill="1" applyBorder="0" applyAlignment="1" applyProtection="0">
      <alignment vertical="top"/>
    </xf>
    <xf numFmtId="167" fontId="12" fillId="6" borderId="3" xfId="0" applyNumberFormat="1" applyFont="1" applyFill="1" applyBorder="0" applyAlignment="1" applyProtection="0">
      <alignment vertical="top"/>
    </xf>
    <xf numFmtId="167" fontId="12" fillId="3" borderId="3" xfId="0" applyNumberFormat="1" applyFont="1" applyFill="1" applyBorder="0" applyAlignment="1" applyProtection="0">
      <alignment vertical="top"/>
    </xf>
    <xf numFmtId="0" fontId="10" fillId="7" borderId="3" xfId="0" applyNumberFormat="0" applyFont="1" applyFill="1" applyBorder="0" applyAlignment="1" applyProtection="0">
      <alignment horizontal="right" vertical="top"/>
    </xf>
    <xf numFmtId="0" fontId="17" fillId="7" borderId="3" xfId="0" applyNumberFormat="0" applyFont="1" applyFill="1" applyBorder="0" applyAlignment="1" applyProtection="0">
      <alignment vertical="top" wrapText="1"/>
    </xf>
    <xf numFmtId="166" fontId="10" fillId="7" borderId="3" xfId="0" applyNumberFormat="1" applyFont="1" applyFill="1" applyBorder="0" applyAlignment="1" applyProtection="0">
      <alignment horizontal="right" vertical="top"/>
    </xf>
    <xf numFmtId="0" fontId="10" fillId="4" borderId="3" xfId="0" applyNumberFormat="0" applyFont="1" applyFill="1" applyBorder="0" applyAlignment="1" applyProtection="0">
      <alignment horizontal="left" vertical="center"/>
    </xf>
    <xf numFmtId="166" fontId="12" fillId="3" borderId="3" xfId="0" applyNumberFormat="1" applyFont="1" applyFill="1" applyBorder="0" applyAlignment="1" applyProtection="0">
      <alignment horizontal="right" vertical="top"/>
    </xf>
    <xf numFmtId="166" fontId="12" fillId="6" borderId="3" xfId="0" applyNumberFormat="1" applyFont="1" applyFill="1" applyBorder="0" applyAlignment="1" applyProtection="0">
      <alignment vertical="top"/>
    </xf>
    <xf numFmtId="165" fontId="16" fillId="8" borderId="6" xfId="0" applyNumberFormat="1" applyFont="1" applyFill="1" applyBorder="0" applyAlignment="1" applyProtection="0">
      <alignment horizontal="left" vertical="top"/>
    </xf>
    <xf numFmtId="166" fontId="12" fillId="8" borderId="3" xfId="0" applyNumberFormat="1" applyFont="1" applyFill="1" applyBorder="0" applyAlignment="1" applyProtection="0">
      <alignment horizontal="right" vertical="top"/>
    </xf>
    <xf numFmtId="166" fontId="12" fillId="8" borderId="3" xfId="0" applyNumberFormat="1" applyFont="1" applyFill="1" applyBorder="0" applyAlignment="1" applyProtection="0">
      <alignment vertical="top"/>
    </xf>
    <xf numFmtId="0" fontId="16" fillId="8" borderId="6" xfId="0" applyNumberFormat="0" applyFont="1" applyFill="1" applyBorder="0" applyAlignment="1" applyProtection="0">
      <alignment vertical="top"/>
    </xf>
    <xf numFmtId="0" fontId="14" fillId="3" borderId="3" xfId="0" applyNumberFormat="0" applyFont="1" applyFill="1" applyBorder="0" applyAlignment="1" applyProtection="0">
      <alignment vertical="top" wrapText="1"/>
    </xf>
    <xf numFmtId="164" fontId="12" fillId="8" borderId="3" xfId="0" applyNumberFormat="1" applyFont="1" applyFill="1" applyBorder="0" applyAlignment="1" applyProtection="0">
      <alignment vertical="top"/>
    </xf>
    <xf numFmtId="0" fontId="12" fillId="8" borderId="3" xfId="0" applyNumberFormat="0" applyFont="1" applyFill="1" applyBorder="0" applyAlignment="1" applyProtection="0">
      <alignment vertical="top"/>
    </xf>
    <xf numFmtId="168" fontId="12" fillId="8" borderId="3" xfId="0" applyNumberFormat="1" applyFont="1" applyFill="1" applyBorder="0" applyAlignment="1" applyProtection="0">
      <alignment vertical="top"/>
    </xf>
    <xf numFmtId="0" fontId="10" fillId="4" borderId="3" xfId="0" applyNumberFormat="0" applyFont="1" applyFill="1" applyBorder="0" applyAlignment="1" applyProtection="0">
      <alignment horizontal="left" vertical="center"/>
    </xf>
    <xf numFmtId="0" fontId="16" fillId="8" borderId="6" xfId="0" applyNumberFormat="0" applyFont="1" applyFill="1" applyBorder="0" applyAlignment="1" applyProtection="0">
      <alignment horizontal="left" vertical="top"/>
    </xf>
    <xf numFmtId="0" fontId="16" fillId="3" borderId="6" xfId="0" applyNumberFormat="0" applyFont="1" applyFill="1" applyBorder="0" applyAlignment="1" applyProtection="0">
      <alignment vertical="top"/>
    </xf>
    <xf numFmtId="0" fontId="16" fillId="3" borderId="9" xfId="0" applyNumberFormat="0" applyFont="1" applyFill="1" applyBorder="0" applyAlignment="1" applyProtection="0">
      <alignment vertical="top"/>
    </xf>
    <xf numFmtId="0" fontId="14" fillId="3" borderId="4" xfId="0" applyNumberFormat="0" applyFont="1" applyFill="1" applyBorder="0" applyAlignment="1" applyProtection="0">
      <alignment vertical="top" wrapText="1"/>
    </xf>
    <xf numFmtId="0" fontId="16" fillId="8" borderId="9" xfId="0" applyNumberFormat="0" applyFont="1" applyFill="1" applyBorder="0" applyAlignment="1" applyProtection="0">
      <alignment vertical="top"/>
    </xf>
    <xf numFmtId="169" fontId="10" fillId="4" borderId="3" xfId="0" applyNumberFormat="1" applyFont="1" applyFill="1" applyBorder="0" applyAlignment="1" applyProtection="0">
      <alignment horizontal="left" vertical="top"/>
    </xf>
    <xf numFmtId="0" fontId="16" fillId="3" borderId="9" xfId="0" applyNumberFormat="0" applyFont="1" applyFill="1" applyBorder="0" applyAlignment="1" applyProtection="0">
      <alignment vertical="top"/>
    </xf>
    <xf numFmtId="166" fontId="12" fillId="8" borderId="3" xfId="0" applyNumberFormat="1" applyFont="1" applyFill="1" applyBorder="0" applyAlignment="1" applyProtection="0">
      <alignment vertical="top"/>
    </xf>
    <xf numFmtId="0" fontId="16" fillId="6" borderId="9" xfId="0" applyNumberFormat="0" applyFont="1" applyFill="1" applyBorder="0" applyAlignment="1" applyProtection="0">
      <alignment vertical="top"/>
    </xf>
    <xf numFmtId="166" fontId="12" fillId="6" borderId="3" xfId="0" applyNumberFormat="1" applyFont="1" applyFill="1" applyBorder="0" applyAlignment="1" applyProtection="0">
      <alignment horizontal="right" vertical="top"/>
    </xf>
    <xf numFmtId="164" fontId="12" fillId="6" borderId="4" xfId="0" applyNumberFormat="1" applyFont="1" applyFill="1" applyBorder="0" applyAlignment="1" applyProtection="0">
      <alignment vertical="top"/>
    </xf>
    <xf numFmtId="0" fontId="12" fillId="6" borderId="4" xfId="0" applyNumberFormat="0" applyFont="1" applyFill="1" applyBorder="0" applyAlignment="1" applyProtection="0">
      <alignment vertical="top"/>
    </xf>
    <xf numFmtId="168" fontId="12" fillId="6" borderId="4" xfId="0" applyNumberFormat="1" applyFont="1" applyFill="1" applyBorder="0" applyAlignment="1" applyProtection="0">
      <alignment vertical="top"/>
    </xf>
    <xf numFmtId="164" fontId="12" fillId="8" borderId="4" xfId="0" applyNumberFormat="1" applyFont="1" applyFill="1" applyBorder="0" applyAlignment="1" applyProtection="0">
      <alignment vertical="top"/>
    </xf>
    <xf numFmtId="0" fontId="12" fillId="8" borderId="4" xfId="0" applyNumberFormat="0" applyFont="1" applyFill="1" applyBorder="0" applyAlignment="1" applyProtection="0">
      <alignment vertical="top"/>
    </xf>
    <xf numFmtId="168" fontId="12" fillId="8" borderId="4" xfId="0" applyNumberFormat="1" applyFont="1" applyFill="1" applyBorder="0" applyAlignment="1" applyProtection="0">
      <alignment vertical="top"/>
    </xf>
    <xf numFmtId="169" fontId="10" fillId="4" borderId="3" xfId="0" applyNumberFormat="1" applyFont="1" applyFill="1" applyBorder="0" applyAlignment="1" applyProtection="0">
      <alignment horizontal="left" vertical="top"/>
    </xf>
    <xf numFmtId="0" fontId="12" fillId="7" borderId="3" xfId="0" applyNumberFormat="0" applyFont="1" applyFill="1" applyBorder="0" applyAlignment="1" applyProtection="0">
      <alignment vertical="top" wrapText="1"/>
    </xf>
    <xf numFmtId="0" fontId="10" fillId="7" borderId="3" xfId="0" applyNumberFormat="0" applyFont="1" applyFill="1" applyBorder="0" applyAlignment="1" applyProtection="0">
      <alignment vertical="top"/>
    </xf>
    <xf numFmtId="0" fontId="14" fillId="8" borderId="3" xfId="0" applyNumberFormat="0" applyFont="1" applyFill="1" applyBorder="0" applyAlignment="1" applyProtection="0">
      <alignment vertical="top" wrapText="1"/>
    </xf>
    <xf numFmtId="166" fontId="16" fillId="13" borderId="11" xfId="0" applyNumberFormat="1" applyFont="1" applyFill="1" applyBorder="0" applyAlignment="1" applyProtection="0">
      <alignment vertical="top"/>
    </xf>
    <xf numFmtId="0" fontId="12" fillId="3" borderId="6" xfId="0" applyNumberFormat="0" applyFont="1" applyFill="1" applyBorder="0" applyAlignment="1" applyProtection="0">
      <alignment vertical="top" wrapText="1"/>
    </xf>
    <xf numFmtId="0" fontId="10" fillId="4" borderId="4" xfId="0" applyNumberFormat="0" applyFont="1" applyFill="1" applyBorder="0" applyAlignment="1" applyProtection="0">
      <alignment horizontal="left" vertical="top"/>
    </xf>
    <xf numFmtId="0" fontId="10" fillId="4" borderId="4" xfId="0" applyNumberFormat="0" applyFont="1" applyFill="1" applyBorder="0" applyAlignment="1" applyProtection="0">
      <alignment horizontal="left" vertical="top"/>
    </xf>
    <xf numFmtId="0" fontId="12" fillId="3" borderId="9" xfId="0" applyNumberFormat="0" applyFont="1" applyFill="1" applyBorder="0" applyAlignment="1" applyProtection="0">
      <alignment vertical="top"/>
    </xf>
    <xf numFmtId="0" fontId="10" fillId="7" borderId="3" xfId="0" applyNumberFormat="0" applyFont="1" applyFill="1" applyBorder="0" applyAlignment="1" applyProtection="0">
      <alignment vertical="top"/>
    </xf>
    <xf numFmtId="0" fontId="12" fillId="3" borderId="3" xfId="0" applyNumberFormat="0" applyFont="1" applyFill="1" applyBorder="0" applyAlignment="1" applyProtection="0">
      <alignment vertical="top"/>
    </xf>
    <xf numFmtId="0" fontId="12" fillId="3" borderId="3" xfId="0" applyNumberFormat="0" applyFont="1" applyFill="1" applyBorder="0" applyAlignment="1" applyProtection="0">
      <alignment vertical="top" wrapText="1"/>
    </xf>
    <xf numFmtId="0" fontId="12" fillId="7" borderId="3" xfId="0" applyNumberFormat="0" applyFont="1" applyFill="1" applyBorder="0" applyAlignment="1" applyProtection="0">
      <alignment vertical="top"/>
    </xf>
    <xf numFmtId="0" fontId="10" fillId="3" borderId="0" xfId="0" applyNumberFormat="0" applyFont="1" applyFill="1" applyBorder="0" applyAlignment="1" applyProtection="0">
      <alignment horizontal="left" vertical="top"/>
    </xf>
    <xf numFmtId="0" fontId="12" fillId="3" borderId="0" xfId="0" applyNumberFormat="0" applyFont="1" applyFill="1" applyBorder="0" applyAlignment="1" applyProtection="0">
      <alignment vertical="top"/>
    </xf>
    <xf numFmtId="0" fontId="12" fillId="3" borderId="0" xfId="0" applyNumberFormat="0" applyFont="1" applyFill="1" applyBorder="0" applyAlignment="1" applyProtection="0">
      <alignment vertical="top" wrapText="1"/>
    </xf>
    <xf numFmtId="0" fontId="4" fillId="14" borderId="12" xfId="0" applyNumberFormat="0" applyFont="1" applyFill="1" applyBorder="0" applyAlignment="1" applyProtection="0">
      <alignment horizontal="left" vertical="center"/>
    </xf>
    <xf numFmtId="0" fontId="10" fillId="14" borderId="0" xfId="0" applyNumberFormat="0" applyFont="1" applyFill="1" applyBorder="0" applyAlignment="1" applyProtection="0">
      <alignment horizontal="center" vertical="top"/>
    </xf>
    <xf numFmtId="0" fontId="10" fillId="14" borderId="12" xfId="0" applyNumberFormat="0" applyFont="1" applyFill="1" applyBorder="0" applyAlignment="1" applyProtection="0">
      <alignment horizontal="center" vertical="top"/>
    </xf>
    <xf numFmtId="0" fontId="12" fillId="3" borderId="0" xfId="0" applyNumberFormat="0" applyFont="1" applyFill="1" applyBorder="0" applyAlignment="1" applyProtection="0">
      <alignment vertical="top"/>
    </xf>
    <xf numFmtId="0" fontId="10" fillId="14" borderId="12" xfId="0" applyNumberFormat="0" applyFont="1" applyFill="1" applyBorder="0" applyAlignment="1" applyProtection="0">
      <alignment horizontal="left" vertical="top"/>
    </xf>
    <xf numFmtId="0" fontId="10" fillId="15" borderId="13" xfId="0" applyNumberFormat="0" applyFont="1" applyFill="1" applyBorder="0" applyAlignment="1" applyProtection="0">
      <alignment horizontal="center" vertical="top"/>
    </xf>
    <xf numFmtId="0" fontId="10" fillId="15" borderId="12" xfId="0" applyNumberFormat="0" applyFont="1" applyFill="1" applyBorder="0" applyAlignment="1" applyProtection="0">
      <alignment horizontal="center" vertical="top"/>
    </xf>
    <xf numFmtId="0" fontId="10" fillId="15" borderId="12" xfId="0" applyNumberFormat="0" applyFont="1" applyFill="1" applyBorder="0" applyAlignment="1" applyProtection="0">
      <alignment horizontal="center" vertical="top" wrapText="1"/>
    </xf>
    <xf numFmtId="0" fontId="12" fillId="3" borderId="0" xfId="0" applyNumberFormat="0" applyFont="1" applyFill="1" applyBorder="0" applyAlignment="1" applyProtection="0">
      <alignment horizontal="center" vertical="top"/>
    </xf>
    <xf numFmtId="0" fontId="10" fillId="16" borderId="13" xfId="0" applyNumberFormat="0" applyFont="1" applyFill="1" applyBorder="0" applyAlignment="1" applyProtection="0">
      <alignment horizontal="left" vertical="top" wrapText="1"/>
    </xf>
    <xf numFmtId="0" fontId="10" fillId="16" borderId="13" xfId="0" applyNumberFormat="0" applyFont="1" applyFill="1" applyBorder="0" applyAlignment="1" applyProtection="0">
      <alignment horizontal="left" vertical="top" wrapText="1"/>
    </xf>
    <xf numFmtId="0" fontId="10" fillId="17" borderId="12" xfId="0" applyNumberFormat="0" applyFont="1" applyFill="1" applyBorder="0" applyAlignment="1" applyProtection="0">
      <alignment horizontal="center" vertical="center"/>
    </xf>
    <xf numFmtId="0" fontId="10" fillId="18" borderId="12" xfId="0" applyNumberFormat="0" applyFont="1" applyFill="1" applyBorder="0" applyAlignment="1" applyProtection="0">
      <alignment horizontal="center" vertical="center"/>
    </xf>
    <xf numFmtId="0" fontId="10" fillId="19" borderId="12" xfId="0" applyNumberFormat="0" applyFont="1" applyFill="1" applyBorder="0" applyAlignment="1" applyProtection="0">
      <alignment horizontal="center" vertical="center" wrapText="1"/>
    </xf>
    <xf numFmtId="0" fontId="10" fillId="16" borderId="12" xfId="0" applyNumberFormat="0" applyFont="1" applyFill="1" applyBorder="0" applyAlignment="1" applyProtection="0">
      <alignment horizontal="center" vertical="top" wrapText="1"/>
    </xf>
    <xf numFmtId="0" fontId="13" fillId="14" borderId="12" xfId="0" applyNumberFormat="0" applyFont="1" applyFill="1" applyBorder="0" applyAlignment="1" applyProtection="0">
      <alignment horizontal="left" vertical="top"/>
    </xf>
    <xf numFmtId="0" fontId="13" fillId="16" borderId="13" xfId="0" applyNumberFormat="0" applyFont="1" applyFill="1" applyBorder="0" applyAlignment="1" applyProtection="0">
      <alignment vertical="top"/>
    </xf>
    <xf numFmtId="0" fontId="13" fillId="16" borderId="12" xfId="0" applyNumberFormat="0" applyFont="1" applyFill="1" applyBorder="0" applyAlignment="1" applyProtection="0">
      <alignment horizontal="left" vertical="top"/>
    </xf>
    <xf numFmtId="0" fontId="14" fillId="16" borderId="12" xfId="0" applyNumberFormat="0" applyFont="1" applyFill="1" applyBorder="0" applyAlignment="1" applyProtection="0">
      <alignment vertical="top" wrapText="1"/>
    </xf>
    <xf numFmtId="170" fontId="12" fillId="16" borderId="12" xfId="0" applyNumberFormat="1" applyFont="1" applyFill="1" applyBorder="0" applyAlignment="1" applyProtection="0">
      <alignment vertical="top"/>
    </xf>
    <xf numFmtId="170" fontId="12" fillId="16" borderId="12" xfId="0" applyNumberFormat="1" applyFont="1" applyFill="1" applyBorder="0" applyAlignment="1" applyProtection="0">
      <alignment vertical="top"/>
    </xf>
    <xf numFmtId="0" fontId="12" fillId="16" borderId="12" xfId="0" applyNumberFormat="0" applyFont="1" applyFill="1" applyBorder="0" applyAlignment="1" applyProtection="0">
      <alignment vertical="top"/>
    </xf>
    <xf numFmtId="171" fontId="12" fillId="16" borderId="12" xfId="0" applyNumberFormat="1" applyFont="1" applyFill="1" applyBorder="0" applyAlignment="1" applyProtection="0">
      <alignment vertical="top"/>
    </xf>
    <xf numFmtId="0" fontId="10" fillId="16" borderId="13" xfId="0" applyNumberFormat="0" applyFont="1" applyFill="1" applyBorder="0" applyAlignment="1" applyProtection="0">
      <alignment vertical="top"/>
    </xf>
    <xf numFmtId="0" fontId="10" fillId="16" borderId="12" xfId="0" applyNumberFormat="0" applyFont="1" applyFill="1" applyBorder="0" applyAlignment="1" applyProtection="0">
      <alignment vertical="top"/>
    </xf>
    <xf numFmtId="0" fontId="10" fillId="16" borderId="12" xfId="0" applyNumberFormat="0" applyFont="1" applyFill="1" applyBorder="0" applyAlignment="1" applyProtection="0">
      <alignment vertical="top" wrapText="1"/>
    </xf>
    <xf numFmtId="171" fontId="10" fillId="16" borderId="14" xfId="0" applyNumberFormat="1" applyFont="1" applyFill="1" applyBorder="0" applyAlignment="1" applyProtection="0">
      <alignment horizontal="center" vertical="top"/>
    </xf>
    <xf numFmtId="171" fontId="10" fillId="16" borderId="12" xfId="0" applyNumberFormat="1" applyFont="1" applyFill="1" applyBorder="0" applyAlignment="1" applyProtection="0">
      <alignment horizontal="center" vertical="top"/>
    </xf>
    <xf numFmtId="0" fontId="10" fillId="3" borderId="0" xfId="0" applyNumberFormat="0" applyFont="1" applyFill="1" applyBorder="0" applyAlignment="1" applyProtection="0">
      <alignment vertical="top"/>
    </xf>
    <xf numFmtId="0" fontId="10" fillId="15" borderId="13" xfId="0" applyNumberFormat="0" applyFont="1" applyFill="1" applyBorder="0" applyAlignment="1" applyProtection="0">
      <alignment vertical="top"/>
    </xf>
    <xf numFmtId="0" fontId="10" fillId="15" borderId="12" xfId="0" applyNumberFormat="0" applyFont="1" applyFill="1" applyBorder="0" applyAlignment="1" applyProtection="0">
      <alignment vertical="top"/>
    </xf>
    <xf numFmtId="0" fontId="10" fillId="15" borderId="15" xfId="0" applyNumberFormat="0" applyFont="1" applyFill="1" applyBorder="0" applyAlignment="1" applyProtection="0">
      <alignment vertical="top" wrapText="1"/>
    </xf>
    <xf numFmtId="172" fontId="10" fillId="15" borderId="12" xfId="0" applyNumberFormat="1" applyFont="1" applyFill="1" applyBorder="0" applyAlignment="1" applyProtection="0">
      <alignment horizontal="center" vertical="top"/>
    </xf>
    <xf numFmtId="172" fontId="10" fillId="15" borderId="16" xfId="0" applyNumberFormat="1" applyFont="1" applyFill="1" applyBorder="0" applyAlignment="1" applyProtection="0">
      <alignment horizontal="center" vertical="top"/>
    </xf>
    <xf numFmtId="172" fontId="10" fillId="15" borderId="14" xfId="0" applyNumberFormat="1" applyFont="1" applyFill="1" applyBorder="0" applyAlignment="1" applyProtection="0">
      <alignment horizontal="center" vertical="top"/>
    </xf>
    <xf numFmtId="0" fontId="10" fillId="14" borderId="12" xfId="0" applyNumberFormat="0" applyFont="1" applyFill="1" applyBorder="0" applyAlignment="1" applyProtection="0">
      <alignment horizontal="left" vertical="top"/>
    </xf>
    <xf numFmtId="0" fontId="12" fillId="3" borderId="13" xfId="0" applyNumberFormat="0" applyFont="1" applyFill="1" applyBorder="0" applyAlignment="1" applyProtection="0">
      <alignment vertical="top"/>
    </xf>
    <xf numFmtId="172" fontId="12" fillId="3" borderId="12" xfId="0" applyNumberFormat="1" applyFont="1" applyFill="1" applyBorder="0" applyAlignment="1" applyProtection="0">
      <alignment vertical="top"/>
    </xf>
    <xf numFmtId="0" fontId="14" fillId="3" borderId="15" xfId="0" applyNumberFormat="0" applyFont="1" applyFill="1" applyBorder="0" applyAlignment="1" applyProtection="0">
      <alignment vertical="top" wrapText="1"/>
    </xf>
    <xf numFmtId="172" fontId="12" fillId="3" borderId="13" xfId="0" applyNumberFormat="1" applyFont="1" applyFill="1" applyBorder="0" applyAlignment="1" applyProtection="0">
      <alignment vertical="top"/>
    </xf>
    <xf numFmtId="0" fontId="16" fillId="3" borderId="13" xfId="0" applyNumberFormat="0" applyFont="1" applyFill="1" applyBorder="0" applyAlignment="1" applyProtection="0">
      <alignment vertical="top" wrapText="1"/>
    </xf>
    <xf numFmtId="0" fontId="14" fillId="3" borderId="12" xfId="0" applyNumberFormat="0" applyFont="1" applyFill="1" applyBorder="0" applyAlignment="1" applyProtection="0">
      <alignment vertical="top" wrapText="1"/>
    </xf>
    <xf numFmtId="0" fontId="16" fillId="3" borderId="13" xfId="0" applyNumberFormat="0" applyFont="1" applyFill="1" applyBorder="0" applyAlignment="1" applyProtection="0">
      <alignment vertical="top"/>
    </xf>
    <xf numFmtId="0" fontId="12" fillId="3" borderId="17" xfId="0" applyNumberFormat="0" applyFont="1" applyFill="1" applyBorder="0" applyAlignment="1" applyProtection="0">
      <alignment vertical="top"/>
    </xf>
    <xf numFmtId="173" fontId="12" fillId="20" borderId="12" xfId="0" applyNumberFormat="1" applyFont="1" applyFill="1" applyBorder="0" applyAlignment="1" applyProtection="0">
      <alignment vertical="top"/>
    </xf>
    <xf numFmtId="173" fontId="12" fillId="3" borderId="12" xfId="0" applyNumberFormat="1" applyFont="1" applyFill="1" applyBorder="0" applyAlignment="1" applyProtection="0">
      <alignment vertical="top"/>
    </xf>
    <xf numFmtId="0" fontId="10" fillId="21" borderId="13" xfId="0" applyNumberFormat="0" applyFont="1" applyFill="1" applyBorder="0" applyAlignment="1" applyProtection="0">
      <alignment vertical="top"/>
    </xf>
    <xf numFmtId="172" fontId="10" fillId="21" borderId="12" xfId="0" applyNumberFormat="1" applyFont="1" applyFill="1" applyBorder="0" applyAlignment="1" applyProtection="0">
      <alignment vertical="top"/>
    </xf>
    <xf numFmtId="0" fontId="14" fillId="21" borderId="12" xfId="0" applyNumberFormat="0" applyFont="1" applyFill="1" applyBorder="0" applyAlignment="1" applyProtection="0">
      <alignment vertical="top" wrapText="1"/>
    </xf>
    <xf numFmtId="0" fontId="12" fillId="21" borderId="12" xfId="0" applyNumberFormat="0" applyFont="1" applyFill="1" applyBorder="0" applyAlignment="1" applyProtection="0">
      <alignment vertical="top"/>
    </xf>
    <xf numFmtId="0" fontId="14" fillId="20" borderId="12" xfId="0" applyNumberFormat="0" applyFont="1" applyFill="1" applyBorder="0" applyAlignment="1" applyProtection="0">
      <alignment vertical="top" wrapText="1"/>
    </xf>
    <xf numFmtId="0" fontId="12" fillId="20" borderId="12" xfId="0" applyNumberFormat="0" applyFont="1" applyFill="1" applyBorder="0" applyAlignment="1" applyProtection="0">
      <alignment vertical="top"/>
    </xf>
    <xf numFmtId="0" fontId="12" fillId="3" borderId="12" xfId="0" applyNumberFormat="0" applyFont="1" applyFill="1" applyBorder="0" applyAlignment="1" applyProtection="0">
      <alignment vertical="top"/>
    </xf>
    <xf numFmtId="173" fontId="12" fillId="3" borderId="12" xfId="0" applyNumberFormat="1" applyFont="1" applyFill="1" applyBorder="0" applyAlignment="1" applyProtection="0">
      <alignment vertical="top"/>
    </xf>
    <xf numFmtId="0" fontId="10" fillId="15" borderId="12" xfId="0" applyNumberFormat="0" applyFont="1" applyFill="1" applyBorder="0" applyAlignment="1" applyProtection="0">
      <alignment horizontal="right" vertical="top"/>
    </xf>
    <xf numFmtId="0" fontId="14" fillId="15" borderId="12" xfId="0" applyNumberFormat="0" applyFont="1" applyFill="1" applyBorder="0" applyAlignment="1" applyProtection="0">
      <alignment vertical="top" wrapText="1"/>
    </xf>
    <xf numFmtId="0" fontId="12" fillId="15" borderId="12" xfId="0" applyNumberFormat="0" applyFont="1" applyFill="1" applyBorder="0" applyAlignment="1" applyProtection="0">
      <alignment vertical="top"/>
    </xf>
    <xf numFmtId="172" fontId="12" fillId="3" borderId="12" xfId="0" applyNumberFormat="1" applyFont="1" applyFill="1" applyBorder="0" applyAlignment="1" applyProtection="0">
      <alignment horizontal="right" vertical="top"/>
    </xf>
    <xf numFmtId="172" fontId="12" fillId="20" borderId="12" xfId="0" applyNumberFormat="1" applyFont="1" applyFill="1" applyBorder="0" applyAlignment="1" applyProtection="0">
      <alignment vertical="top"/>
    </xf>
    <xf numFmtId="0" fontId="16" fillId="16" borderId="13" xfId="0" applyNumberFormat="0" applyFont="1" applyFill="1" applyBorder="0" applyAlignment="1" applyProtection="0">
      <alignment vertical="top"/>
    </xf>
    <xf numFmtId="172" fontId="12" fillId="16" borderId="12" xfId="0" applyNumberFormat="1" applyFont="1" applyFill="1" applyBorder="0" applyAlignment="1" applyProtection="0">
      <alignment horizontal="right" vertical="top"/>
    </xf>
    <xf numFmtId="172" fontId="12" fillId="16" borderId="12" xfId="0" applyNumberFormat="1" applyFont="1" applyFill="1" applyBorder="0" applyAlignment="1" applyProtection="0">
      <alignment vertical="top"/>
    </xf>
    <xf numFmtId="0" fontId="14" fillId="3" borderId="12" xfId="0" applyNumberFormat="0" applyFont="1" applyFill="1" applyBorder="0" applyAlignment="1" applyProtection="0">
      <alignment vertical="top" wrapText="1"/>
    </xf>
    <xf numFmtId="170" fontId="12" fillId="3" borderId="12" xfId="0" applyNumberFormat="1" applyFont="1" applyFill="1" applyBorder="0" applyAlignment="1" applyProtection="0">
      <alignment vertical="top"/>
    </xf>
    <xf numFmtId="170" fontId="12" fillId="16" borderId="12" xfId="0" applyNumberFormat="1" applyFont="1" applyFill="1" applyBorder="0" applyAlignment="1" applyProtection="0">
      <alignment vertical="top"/>
    </xf>
    <xf numFmtId="170" fontId="12" fillId="16" borderId="12" xfId="0" applyNumberFormat="1" applyFont="1" applyFill="1" applyBorder="0" applyAlignment="1" applyProtection="0">
      <alignment vertical="top"/>
    </xf>
    <xf numFmtId="0" fontId="12" fillId="16" borderId="12" xfId="0" applyNumberFormat="0" applyFont="1" applyFill="1" applyBorder="0" applyAlignment="1" applyProtection="0">
      <alignment vertical="top"/>
    </xf>
    <xf numFmtId="174" fontId="12" fillId="16" borderId="12" xfId="0" applyNumberFormat="1" applyFont="1" applyFill="1" applyBorder="0" applyAlignment="1" applyProtection="0">
      <alignment vertical="top"/>
    </xf>
    <xf numFmtId="174" fontId="12" fillId="3" borderId="12" xfId="0" applyNumberFormat="1" applyFont="1" applyFill="1" applyBorder="0" applyAlignment="1" applyProtection="0">
      <alignment vertical="top"/>
    </xf>
    <xf numFmtId="0" fontId="16" fillId="16" borderId="13" xfId="0" applyNumberFormat="0" applyFont="1" applyFill="1" applyBorder="0" applyAlignment="1" applyProtection="0">
      <alignment vertical="top"/>
    </xf>
    <xf numFmtId="0" fontId="18" fillId="3" borderId="12" xfId="0" applyNumberFormat="0" applyFont="1" applyFill="1" applyBorder="0" applyAlignment="1" applyProtection="0">
      <alignment vertical="top" wrapText="1"/>
    </xf>
    <xf numFmtId="0" fontId="16" fillId="3" borderId="13" xfId="0" applyNumberFormat="0" applyFont="1" applyFill="1" applyBorder="0" applyAlignment="1" applyProtection="0">
      <alignment vertical="top"/>
    </xf>
    <xf numFmtId="0" fontId="16" fillId="3" borderId="16" xfId="0" applyNumberFormat="0" applyFont="1" applyFill="1" applyBorder="0" applyAlignment="1" applyProtection="0">
      <alignment vertical="top"/>
    </xf>
    <xf numFmtId="0" fontId="14" fillId="3" borderId="14" xfId="0" applyNumberFormat="0" applyFont="1" applyFill="1" applyBorder="0" applyAlignment="1" applyProtection="0">
      <alignment vertical="top" wrapText="1"/>
    </xf>
    <xf numFmtId="170" fontId="12" fillId="3" borderId="14" xfId="0" applyNumberFormat="1" applyFont="1" applyFill="1" applyBorder="0" applyAlignment="1" applyProtection="0">
      <alignment vertical="top"/>
    </xf>
    <xf numFmtId="0" fontId="12" fillId="3" borderId="14" xfId="0" applyNumberFormat="0" applyFont="1" applyFill="1" applyBorder="0" applyAlignment="1" applyProtection="0">
      <alignment vertical="top"/>
    </xf>
    <xf numFmtId="174" fontId="12" fillId="3" borderId="14" xfId="0" applyNumberFormat="1" applyFont="1" applyFill="1" applyBorder="0" applyAlignment="1" applyProtection="0">
      <alignment vertical="top"/>
    </xf>
    <xf numFmtId="0" fontId="16" fillId="16" borderId="16" xfId="0" applyNumberFormat="0" applyFont="1" applyFill="1" applyBorder="0" applyAlignment="1" applyProtection="0">
      <alignment vertical="top"/>
    </xf>
    <xf numFmtId="170" fontId="12" fillId="16" borderId="14" xfId="0" applyNumberFormat="1" applyFont="1" applyFill="1" applyBorder="0" applyAlignment="1" applyProtection="0">
      <alignment vertical="top"/>
    </xf>
    <xf numFmtId="0" fontId="12" fillId="16" borderId="14" xfId="0" applyNumberFormat="0" applyFont="1" applyFill="1" applyBorder="0" applyAlignment="1" applyProtection="0">
      <alignment vertical="top"/>
    </xf>
    <xf numFmtId="174" fontId="12" fillId="16" borderId="14" xfId="0" applyNumberFormat="1" applyFont="1" applyFill="1" applyBorder="0" applyAlignment="1" applyProtection="0">
      <alignment vertical="top"/>
    </xf>
    <xf numFmtId="172" fontId="10" fillId="15" borderId="12" xfId="0" applyNumberFormat="1" applyFont="1" applyFill="1" applyBorder="0" applyAlignment="1" applyProtection="0">
      <alignment horizontal="right" vertical="top"/>
    </xf>
    <xf numFmtId="0" fontId="12" fillId="15" borderId="12" xfId="0" applyNumberFormat="0" applyFont="1" applyFill="1" applyBorder="0" applyAlignment="1" applyProtection="0">
      <alignment vertical="top" wrapText="1"/>
    </xf>
    <xf numFmtId="0" fontId="12" fillId="15" borderId="12" xfId="0" applyNumberFormat="0" applyFont="1" applyFill="1" applyBorder="0" applyAlignment="1" applyProtection="0">
      <alignment vertical="top"/>
    </xf>
    <xf numFmtId="0" fontId="10" fillId="14" borderId="14" xfId="0" applyNumberFormat="0" applyFont="1" applyFill="1" applyBorder="0" applyAlignment="1" applyProtection="0">
      <alignment horizontal="left" vertical="top"/>
    </xf>
    <xf numFmtId="0" fontId="12" fillId="3" borderId="16" xfId="0" applyNumberFormat="0" applyFont="1" applyFill="1" applyBorder="0" applyAlignment="1" applyProtection="0">
      <alignment vertical="top"/>
    </xf>
    <xf numFmtId="0" fontId="12" fillId="3" borderId="14" xfId="0" applyNumberFormat="0" applyFont="1" applyFill="1" applyBorder="0" applyAlignment="1" applyProtection="0">
      <alignment vertical="top" wrapText="1"/>
    </xf>
    <xf numFmtId="0" fontId="10" fillId="15" borderId="12" xfId="0" applyNumberFormat="0" applyFont="1" applyFill="1" applyBorder="0" applyAlignment="1" applyProtection="0">
      <alignment vertical="top"/>
    </xf>
    <xf numFmtId="0" fontId="12" fillId="3" borderId="12" xfId="0" applyNumberFormat="0" applyFont="1" applyFill="1" applyBorder="0" applyAlignment="1" applyProtection="0">
      <alignment vertical="top"/>
    </xf>
    <xf numFmtId="0" fontId="12" fillId="3" borderId="12" xfId="0" applyNumberFormat="0" applyFont="1" applyFill="1" applyBorder="0" applyAlignment="1" applyProtection="0">
      <alignment vertical="top" wrapText="1"/>
    </xf>
    <xf numFmtId="0" fontId="10" fillId="3" borderId="0" xfId="0" applyNumberFormat="0" applyFont="1" applyFill="1" applyBorder="0" applyAlignment="1" applyProtection="0">
      <alignment horizontal="left" vertical="top"/>
    </xf>
    <xf numFmtId="0" fontId="12" fillId="3" borderId="0" xfId="0" applyNumberFormat="0" applyFont="1" applyFill="1" applyBorder="0" applyAlignment="1" applyProtection="0">
      <alignment vertical="top" wrapText="1"/>
    </xf>
    <xf numFmtId="0" fontId="19" fillId="22" borderId="0" xfId="0" applyNumberFormat="0" applyFont="1" applyFill="1" applyBorder="0" applyAlignment="1" applyProtection="0">
      <alignment horizontal="center" vertical="center" wrapText="1"/>
    </xf>
    <xf numFmtId="0" fontId="20" fillId="23" borderId="18" xfId="0" applyNumberFormat="0" applyFont="1" applyFill="1" applyBorder="0" applyAlignment="1" applyProtection="0">
      <alignment horizontal="center" vertical="center" wrapText="1"/>
    </xf>
    <xf numFmtId="175" fontId="21" fillId="23" borderId="19" xfId="0" applyNumberFormat="1" applyFont="1" applyFill="1" applyBorder="0" applyAlignment="1" applyProtection="0">
      <alignment horizontal="center" vertical="center" wrapText="1"/>
    </xf>
    <xf numFmtId="0" fontId="1" fillId="3" borderId="0" xfId="0" applyNumberFormat="0" applyFont="1" applyFill="1" applyBorder="0" applyAlignment="1" applyProtection="0">
      <alignment vertical="center"/>
    </xf>
    <xf numFmtId="175" fontId="21" fillId="24" borderId="0" xfId="0" applyNumberFormat="1" applyFont="1" applyFill="1" applyBorder="0" applyAlignment="1" applyProtection="0">
      <alignment horizontal="center" vertical="center" wrapText="1"/>
    </xf>
    <xf numFmtId="0" fontId="20" fillId="23" borderId="19" xfId="0" applyNumberFormat="0" applyFont="1" applyFill="1" applyBorder="0" applyAlignment="1" applyProtection="0">
      <alignment horizontal="center" vertical="center" wrapText="1"/>
    </xf>
    <xf numFmtId="0" fontId="20" fillId="23" borderId="18" xfId="0" applyNumberFormat="0" applyFont="1" applyFill="1" applyBorder="0" applyAlignment="1" applyProtection="0">
      <alignment horizontal="center" vertical="center" wrapText="1"/>
    </xf>
    <xf numFmtId="0" fontId="21" fillId="23" borderId="19" xfId="0" applyNumberFormat="0" applyFont="1" applyFill="1" applyBorder="0" applyAlignment="1" applyProtection="0">
      <alignment horizontal="center" vertical="center" wrapText="1"/>
    </xf>
    <xf numFmtId="0" fontId="21" fillId="24" borderId="0" xfId="0" applyNumberFormat="0" applyFont="1" applyFill="1" applyBorder="0" applyAlignment="1" applyProtection="0">
      <alignment horizontal="center" vertical="center" wrapText="1"/>
    </xf>
    <xf numFmtId="0" fontId="22" fillId="3" borderId="0" xfId="0" applyNumberFormat="0" applyFont="1" applyFill="1" applyBorder="0" applyAlignment="1" applyProtection="0">
      <alignment horizontal="center" vertical="bottom"/>
    </xf>
    <xf numFmtId="0" fontId="23" fillId="3" borderId="18" xfId="0" applyNumberFormat="0" applyFont="1" applyFill="1" applyBorder="0" applyAlignment="1" applyProtection="0">
      <alignment horizontal="left" vertical="center" wrapText="1"/>
    </xf>
    <xf numFmtId="176" fontId="24" fillId="3" borderId="19" xfId="0" applyNumberFormat="1" applyFont="1" applyFill="1" applyBorder="0" applyAlignment="1" applyProtection="0">
      <alignment horizontal="left" vertical="center" wrapText="1"/>
    </xf>
    <xf numFmtId="176" fontId="24" fillId="3" borderId="19" xfId="0" applyNumberFormat="1" applyFont="1" applyFill="1" applyBorder="0" applyAlignment="1" applyProtection="0">
      <alignment horizontal="left" vertical="center" wrapText="1"/>
    </xf>
    <xf numFmtId="176" fontId="24" fillId="24" borderId="0" xfId="0" applyNumberFormat="1" applyFont="1" applyFill="1" applyBorder="0" applyAlignment="1" applyProtection="0">
      <alignment horizontal="left" vertical="center" wrapText="1"/>
    </xf>
    <xf numFmtId="0" fontId="23" fillId="3" borderId="19" xfId="0" applyNumberFormat="0" applyFont="1" applyFill="1" applyBorder="0" applyAlignment="1" applyProtection="0">
      <alignment horizontal="left" vertical="center" wrapText="1"/>
    </xf>
    <xf numFmtId="177" fontId="24" fillId="3" borderId="19" xfId="0" applyNumberFormat="1" applyFont="1" applyFill="1" applyBorder="0" applyAlignment="1" applyProtection="0">
      <alignment horizontal="left" vertical="center" wrapText="1"/>
    </xf>
    <xf numFmtId="177" fontId="24" fillId="3" borderId="19" xfId="0" applyNumberFormat="1" applyFont="1" applyFill="1" applyBorder="0" applyAlignment="1" applyProtection="0">
      <alignment horizontal="left" vertical="center" wrapText="1"/>
    </xf>
    <xf numFmtId="177" fontId="24" fillId="24" borderId="0" xfId="0" applyNumberFormat="1" applyFont="1" applyFill="1" applyBorder="0" applyAlignment="1" applyProtection="0">
      <alignment horizontal="left" vertical="center" wrapText="1"/>
    </xf>
    <xf numFmtId="0" fontId="23" fillId="3" borderId="18" xfId="0" applyNumberFormat="0" applyFont="1" applyFill="1" applyBorder="0" applyAlignment="1" applyProtection="0">
      <alignment horizontal="left" vertical="center" wrapText="1"/>
    </xf>
    <xf numFmtId="176" fontId="24" fillId="24" borderId="19" xfId="0" applyNumberFormat="1" applyFont="1" applyFill="1" applyBorder="0" applyAlignment="1" applyProtection="0">
      <alignment horizontal="left" vertical="center" wrapText="1"/>
    </xf>
    <xf numFmtId="176" fontId="24" fillId="24" borderId="19" xfId="0" applyNumberFormat="1" applyFont="1" applyFill="1" applyBorder="0" applyAlignment="1" applyProtection="0">
      <alignment horizontal="left" vertical="center" wrapText="1"/>
    </xf>
    <xf numFmtId="176" fontId="24" fillId="24" borderId="19" xfId="0" applyNumberFormat="1" applyFont="1" applyFill="1" applyBorder="0" applyAlignment="1" applyProtection="0">
      <alignment horizontal="left" vertical="center" wrapText="1"/>
    </xf>
    <xf numFmtId="0" fontId="23" fillId="3" borderId="19" xfId="0" applyNumberFormat="0" applyFont="1" applyFill="1" applyBorder="0" applyAlignment="1" applyProtection="0">
      <alignment horizontal="left" vertical="center" wrapText="1"/>
    </xf>
    <xf numFmtId="0" fontId="25" fillId="3" borderId="20" xfId="0" applyNumberFormat="0" applyFont="1" applyFill="1" applyBorder="0" applyAlignment="1" applyProtection="0">
      <alignment horizontal="left" vertical="center" wrapText="1"/>
    </xf>
    <xf numFmtId="176" fontId="24" fillId="25" borderId="21" xfId="0" applyNumberFormat="1" applyFont="1" applyFill="1" applyBorder="0" applyAlignment="1" applyProtection="0">
      <alignment vertical="center" wrapText="1"/>
    </xf>
    <xf numFmtId="0" fontId="25" fillId="3" borderId="18" xfId="0" applyNumberFormat="0" applyFont="1" applyFill="1" applyBorder="0" applyAlignment="1" applyProtection="0">
      <alignment horizontal="left" vertical="center" wrapText="1"/>
    </xf>
    <xf numFmtId="176" fontId="24" fillId="25" borderId="19" xfId="0" applyNumberFormat="1" applyFont="1" applyFill="1" applyBorder="0" applyAlignment="1" applyProtection="0">
      <alignment vertical="center" wrapText="1"/>
    </xf>
    <xf numFmtId="176" fontId="24" fillId="24" borderId="0" xfId="0" applyNumberFormat="1" applyFont="1" applyFill="1" applyBorder="0" applyAlignment="1" applyProtection="0">
      <alignment vertical="center" wrapText="1"/>
    </xf>
    <xf numFmtId="0" fontId="25" fillId="3" borderId="19" xfId="0" applyNumberFormat="0" applyFont="1" applyFill="1" applyBorder="0" applyAlignment="1" applyProtection="0">
      <alignment horizontal="left" vertical="center" wrapText="1"/>
    </xf>
    <xf numFmtId="178" fontId="24" fillId="25" borderId="20" xfId="0" applyNumberFormat="1" applyFont="1" applyFill="1" applyBorder="0" applyAlignment="1" applyProtection="0">
      <alignment vertical="center" wrapText="1"/>
    </xf>
    <xf numFmtId="178" fontId="24" fillId="25" borderId="19" xfId="0" applyNumberFormat="1" applyFont="1" applyFill="1" applyBorder="0" applyAlignment="1" applyProtection="0">
      <alignment vertical="center" wrapText="1"/>
    </xf>
    <xf numFmtId="178" fontId="24" fillId="24" borderId="0" xfId="0" applyNumberFormat="1" applyFont="1" applyFill="1" applyBorder="0" applyAlignment="1" applyProtection="0">
      <alignment vertical="center" wrapText="1"/>
    </xf>
    <xf numFmtId="178" fontId="24" fillId="3" borderId="20" xfId="0" applyNumberFormat="1" applyFont="1" applyFill="1" applyBorder="0" applyAlignment="1" applyProtection="0">
      <alignment vertical="center" wrapText="1"/>
    </xf>
    <xf numFmtId="178" fontId="24" fillId="3" borderId="19" xfId="0" applyNumberFormat="1" applyFont="1" applyFill="1" applyBorder="0" applyAlignment="1" applyProtection="0">
      <alignment vertical="center" wrapText="1"/>
    </xf>
    <xf numFmtId="178" fontId="24" fillId="24" borderId="0" xfId="0" applyNumberFormat="1" applyFont="1" applyFill="1" applyBorder="0" applyAlignment="1" applyProtection="0">
      <alignment vertical="center" wrapText="1"/>
    </xf>
    <xf numFmtId="0" fontId="25" fillId="3" borderId="20" xfId="0" applyNumberFormat="0" applyFont="1" applyFill="1" applyBorder="0" applyAlignment="1" applyProtection="0">
      <alignment horizontal="left" vertical="center" wrapText="1"/>
    </xf>
    <xf numFmtId="179" fontId="24" fillId="25" borderId="20" xfId="0" applyNumberFormat="1" applyFont="1" applyFill="1" applyBorder="0" applyAlignment="1" applyProtection="0">
      <alignment vertical="center" wrapText="1"/>
    </xf>
    <xf numFmtId="0" fontId="25" fillId="3" borderId="18" xfId="0" applyNumberFormat="0" applyFont="1" applyFill="1" applyBorder="0" applyAlignment="1" applyProtection="0">
      <alignment horizontal="left" vertical="center" wrapText="1"/>
    </xf>
    <xf numFmtId="179" fontId="24" fillId="25" borderId="19" xfId="0" applyNumberFormat="1" applyFont="1" applyFill="1" applyBorder="0" applyAlignment="1" applyProtection="0">
      <alignment vertical="center" wrapText="1"/>
    </xf>
    <xf numFmtId="179" fontId="24" fillId="24" borderId="0" xfId="0" applyNumberFormat="1" applyFont="1" applyFill="1" applyBorder="0" applyAlignment="1" applyProtection="0">
      <alignment vertical="center" wrapText="1"/>
    </xf>
    <xf numFmtId="0" fontId="25" fillId="3" borderId="19" xfId="0" applyNumberFormat="0" applyFont="1" applyFill="1" applyBorder="0" applyAlignment="1" applyProtection="0">
      <alignment horizontal="left" vertical="center" wrapText="1"/>
    </xf>
    <xf numFmtId="179" fontId="24" fillId="3" borderId="20" xfId="0" applyNumberFormat="1" applyFont="1" applyFill="1" applyBorder="0" applyAlignment="1" applyProtection="0">
      <alignment vertical="center" wrapText="1"/>
    </xf>
    <xf numFmtId="179" fontId="24" fillId="3" borderId="19" xfId="0" applyNumberFormat="1" applyFont="1" applyFill="1" applyBorder="0" applyAlignment="1" applyProtection="0">
      <alignment vertical="center" wrapText="1"/>
    </xf>
    <xf numFmtId="0" fontId="19" fillId="3" borderId="0" xfId="0" applyNumberFormat="0" applyFont="1" applyFill="1" applyBorder="0" applyAlignment="1" applyProtection="0">
      <alignment horizontal="center" vertical="bottom"/>
    </xf>
    <xf numFmtId="0" fontId="23" fillId="26" borderId="20" xfId="0" applyNumberFormat="0" applyFont="1" applyFill="1" applyBorder="0" applyAlignment="1" applyProtection="0">
      <alignment horizontal="left" vertical="center" wrapText="1"/>
    </xf>
    <xf numFmtId="178" fontId="26" fillId="26" borderId="20" xfId="0" applyNumberFormat="1" applyFont="1" applyFill="1" applyBorder="0" applyAlignment="1" applyProtection="0">
      <alignment vertical="center" wrapText="1"/>
    </xf>
    <xf numFmtId="0" fontId="23" fillId="26" borderId="18" xfId="0" applyNumberFormat="0" applyFont="1" applyFill="1" applyBorder="0" applyAlignment="1" applyProtection="0">
      <alignment horizontal="left" vertical="center" wrapText="1"/>
    </xf>
    <xf numFmtId="178" fontId="26" fillId="26" borderId="19" xfId="0" applyNumberFormat="1" applyFont="1" applyFill="1" applyBorder="0" applyAlignment="1" applyProtection="0">
      <alignment vertical="center" wrapText="1"/>
    </xf>
    <xf numFmtId="178" fontId="26" fillId="24" borderId="0" xfId="0" applyNumberFormat="1" applyFont="1" applyFill="1" applyBorder="0" applyAlignment="1" applyProtection="0">
      <alignment vertical="center" wrapText="1"/>
    </xf>
    <xf numFmtId="0" fontId="23" fillId="26" borderId="19" xfId="0" applyNumberFormat="0" applyFont="1" applyFill="1" applyBorder="0" applyAlignment="1" applyProtection="0">
      <alignment horizontal="left" vertical="center" wrapText="1"/>
    </xf>
    <xf numFmtId="179" fontId="24" fillId="25" borderId="20" xfId="0" applyNumberFormat="1" applyFont="1" applyFill="1" applyBorder="0" applyAlignment="1" applyProtection="0">
      <alignment vertical="center" wrapText="1"/>
    </xf>
    <xf numFmtId="179" fontId="24" fillId="25" borderId="19" xfId="0" applyNumberFormat="1" applyFont="1" applyFill="1" applyBorder="0" applyAlignment="1" applyProtection="0">
      <alignment vertical="center" wrapText="1"/>
    </xf>
    <xf numFmtId="179" fontId="24" fillId="24" borderId="0" xfId="0" applyNumberFormat="1" applyFont="1" applyFill="1" applyBorder="0" applyAlignment="1" applyProtection="0">
      <alignment vertical="center" wrapText="1"/>
    </xf>
    <xf numFmtId="179" fontId="24" fillId="27" borderId="20" xfId="0" applyNumberFormat="1" applyFont="1" applyFill="1" applyBorder="0" applyAlignment="1" applyProtection="0">
      <alignment vertical="center" wrapText="1"/>
    </xf>
    <xf numFmtId="179" fontId="24" fillId="27" borderId="19" xfId="0" applyNumberFormat="1" applyFont="1" applyFill="1" applyBorder="0" applyAlignment="1" applyProtection="0">
      <alignment vertical="center" wrapText="1"/>
    </xf>
    <xf numFmtId="0" fontId="27" fillId="24" borderId="0" xfId="0" applyNumberFormat="0" applyFont="1" applyFill="1" applyBorder="0" applyAlignment="1" applyProtection="0">
      <alignment horizontal="center" vertical="bottom"/>
    </xf>
    <xf numFmtId="0" fontId="28" fillId="24" borderId="20" xfId="0" applyNumberFormat="0" applyFont="1" applyFill="1" applyBorder="0" applyAlignment="1" applyProtection="0">
      <alignment horizontal="left" vertical="center" wrapText="1"/>
    </xf>
    <xf numFmtId="178" fontId="29" fillId="24" borderId="20" xfId="0" applyNumberFormat="1" applyFont="1" applyFill="1" applyBorder="0" applyAlignment="1" applyProtection="0">
      <alignment vertical="center" wrapText="1"/>
    </xf>
    <xf numFmtId="0" fontId="30" fillId="24" borderId="0" xfId="0" applyNumberFormat="0" applyFont="1" applyFill="1" applyBorder="0" applyAlignment="1" applyProtection="0">
      <alignment vertical="center"/>
    </xf>
    <xf numFmtId="0" fontId="28" fillId="24" borderId="18" xfId="0" applyNumberFormat="0" applyFont="1" applyFill="1" applyBorder="0" applyAlignment="1" applyProtection="0">
      <alignment horizontal="left" vertical="center" wrapText="1"/>
    </xf>
    <xf numFmtId="178" fontId="29" fillId="24" borderId="19" xfId="0" applyNumberFormat="1" applyFont="1" applyFill="1" applyBorder="0" applyAlignment="1" applyProtection="0">
      <alignment vertical="center" wrapText="1"/>
    </xf>
    <xf numFmtId="178" fontId="29" fillId="24" borderId="0" xfId="0" applyNumberFormat="1" applyFont="1" applyFill="1" applyBorder="0" applyAlignment="1" applyProtection="0">
      <alignment vertical="center" wrapText="1"/>
    </xf>
    <xf numFmtId="0" fontId="28" fillId="24" borderId="19" xfId="0" applyNumberFormat="0" applyFont="1" applyFill="1" applyBorder="0" applyAlignment="1" applyProtection="0">
      <alignment horizontal="left" vertical="center" wrapText="1"/>
    </xf>
    <xf numFmtId="178" fontId="24" fillId="25" borderId="20" xfId="0" applyNumberFormat="1" applyFont="1" applyFill="1" applyBorder="0" applyAlignment="1" applyProtection="0">
      <alignment vertical="center" wrapText="1"/>
    </xf>
    <xf numFmtId="178" fontId="24" fillId="25" borderId="19" xfId="0" applyNumberFormat="1" applyFont="1" applyFill="1" applyBorder="0" applyAlignment="1" applyProtection="0">
      <alignment vertical="center" wrapText="1"/>
    </xf>
    <xf numFmtId="0" fontId="19" fillId="28" borderId="0" xfId="0" applyNumberFormat="0" applyFont="1" applyFill="1" applyBorder="0" applyAlignment="1" applyProtection="0">
      <alignment horizontal="center" vertical="bottom"/>
    </xf>
    <xf numFmtId="0" fontId="25" fillId="28" borderId="20" xfId="0" applyNumberFormat="0" applyFont="1" applyFill="1" applyBorder="0" applyAlignment="1" applyProtection="0">
      <alignment horizontal="left" vertical="center" wrapText="1"/>
    </xf>
    <xf numFmtId="178" fontId="26" fillId="28" borderId="20" xfId="0" applyNumberFormat="1" applyFont="1" applyFill="1" applyBorder="0" applyAlignment="1" applyProtection="0">
      <alignment vertical="center" wrapText="1"/>
    </xf>
    <xf numFmtId="0" fontId="1" fillId="28" borderId="0" xfId="0" applyNumberFormat="0" applyFont="1" applyFill="1" applyBorder="0" applyAlignment="1" applyProtection="0">
      <alignment vertical="center"/>
    </xf>
    <xf numFmtId="0" fontId="25" fillId="28" borderId="18" xfId="0" applyNumberFormat="0" applyFont="1" applyFill="1" applyBorder="0" applyAlignment="1" applyProtection="0">
      <alignment horizontal="left" vertical="center" wrapText="1"/>
    </xf>
    <xf numFmtId="178" fontId="26" fillId="28" borderId="19" xfId="0" applyNumberFormat="1" applyFont="1" applyFill="1" applyBorder="0" applyAlignment="1" applyProtection="0">
      <alignment vertical="center" wrapText="1"/>
    </xf>
    <xf numFmtId="0" fontId="25" fillId="28" borderId="19" xfId="0" applyNumberFormat="0" applyFont="1" applyFill="1" applyBorder="0" applyAlignment="1" applyProtection="0">
      <alignment horizontal="left" vertical="center" wrapText="1"/>
    </xf>
    <xf numFmtId="0" fontId="23" fillId="29" borderId="20" xfId="0" applyNumberFormat="0" applyFont="1" applyFill="1" applyBorder="0" applyAlignment="1" applyProtection="0">
      <alignment horizontal="left" vertical="center" wrapText="1"/>
    </xf>
    <xf numFmtId="178" fontId="26" fillId="29" borderId="20" xfId="0" applyNumberFormat="1" applyFont="1" applyFill="1" applyBorder="0" applyAlignment="1" applyProtection="0">
      <alignment vertical="center" wrapText="1"/>
    </xf>
    <xf numFmtId="0" fontId="23" fillId="29" borderId="18" xfId="0" applyNumberFormat="0" applyFont="1" applyFill="1" applyBorder="0" applyAlignment="1" applyProtection="0">
      <alignment horizontal="left" vertical="center" wrapText="1"/>
    </xf>
    <xf numFmtId="178" fontId="26" fillId="29" borderId="19" xfId="0" applyNumberFormat="1" applyFont="1" applyFill="1" applyBorder="0" applyAlignment="1" applyProtection="0">
      <alignment vertical="center" wrapText="1"/>
    </xf>
    <xf numFmtId="0" fontId="23" fillId="29" borderId="19" xfId="0" applyNumberFormat="0" applyFont="1" applyFill="1" applyBorder="0" applyAlignment="1" applyProtection="0">
      <alignment horizontal="left" vertical="center" wrapText="1"/>
    </xf>
    <xf numFmtId="0" fontId="25" fillId="30" borderId="20" xfId="0" applyNumberFormat="0" applyFont="1" applyFill="1" applyBorder="0" applyAlignment="1" applyProtection="0">
      <alignment horizontal="left" vertical="center" wrapText="1"/>
    </xf>
    <xf numFmtId="179" fontId="24" fillId="30" borderId="20" xfId="0" applyNumberFormat="1" applyFont="1" applyFill="1" applyBorder="0" applyAlignment="1" applyProtection="0">
      <alignment vertical="center" wrapText="1"/>
    </xf>
    <xf numFmtId="0" fontId="25" fillId="30" borderId="18" xfId="0" applyNumberFormat="0" applyFont="1" applyFill="1" applyBorder="0" applyAlignment="1" applyProtection="0">
      <alignment horizontal="left" vertical="center" wrapText="1"/>
    </xf>
    <xf numFmtId="179" fontId="24" fillId="30" borderId="19" xfId="0" applyNumberFormat="1" applyFont="1" applyFill="1" applyBorder="0" applyAlignment="1" applyProtection="0">
      <alignment vertical="center" wrapText="1"/>
    </xf>
    <xf numFmtId="0" fontId="25" fillId="30" borderId="19" xfId="0" applyNumberFormat="0" applyFont="1" applyFill="1" applyBorder="0" applyAlignment="1" applyProtection="0">
      <alignment horizontal="left" vertical="center" wrapText="1"/>
    </xf>
    <xf numFmtId="0" fontId="1" fillId="3" borderId="0" xfId="0" applyNumberFormat="0" applyFont="1" applyFill="1" applyBorder="0" applyAlignment="1" applyProtection="0">
      <alignment horizontal="center" vertical="center"/>
    </xf>
    <xf numFmtId="0" fontId="1" fillId="24" borderId="0" xfId="0" applyNumberFormat="0" applyFont="1" applyFill="1" applyBorder="0" applyAlignment="1" applyProtection="0">
      <alignment vertical="center"/>
    </xf>
    <xf numFmtId="0" fontId="1" fillId="22" borderId="0" xfId="0" applyNumberFormat="0" applyFont="1" applyFill="1" applyBorder="0" applyAlignment="1" applyProtection="0">
      <alignment vertical="center"/>
    </xf>
    <xf numFmtId="0" fontId="1" fillId="22" borderId="0" xfId="0" applyNumberFormat="0" applyFont="1" applyFill="1" applyBorder="0" applyAlignment="1" applyProtection="0">
      <alignment vertical="center"/>
    </xf>
    <xf numFmtId="177" fontId="1" fillId="22" borderId="0" xfId="0" applyNumberFormat="1" applyFont="1" applyFill="1" applyBorder="0" applyAlignment="1" applyProtection="0">
      <alignment vertical="center"/>
    </xf>
    <xf numFmtId="0" fontId="31" fillId="31" borderId="22" xfId="0" applyNumberFormat="0" applyFont="1" applyFill="1" applyBorder="0" applyAlignment="1" applyProtection="0">
      <alignment horizontal="center" vertical="bottom" wrapText="1"/>
    </xf>
    <xf numFmtId="0" fontId="31" fillId="32" borderId="23" xfId="0" applyNumberFormat="0" applyFont="1" applyFill="1" applyBorder="0" applyAlignment="1" applyProtection="0">
      <alignment horizontal="center" vertical="center" wrapText="1"/>
    </xf>
    <xf numFmtId="0" fontId="31" fillId="32" borderId="23" xfId="0" applyNumberFormat="0" applyFont="1" applyFill="1" applyBorder="0" applyAlignment="1" applyProtection="0">
      <alignment horizontal="center" vertical="center" wrapText="1"/>
    </xf>
    <xf numFmtId="0" fontId="16" fillId="3" borderId="22" xfId="0" applyNumberFormat="0" applyFont="1" applyFill="1" applyBorder="0" applyAlignment="1" applyProtection="0">
      <alignment horizontal="center" vertical="bottom" wrapText="1"/>
    </xf>
    <xf numFmtId="0" fontId="16" fillId="3" borderId="22" xfId="0" applyNumberFormat="0" applyFont="1" applyFill="1" applyBorder="0" applyAlignment="1" applyProtection="0">
      <alignment vertical="bottom" wrapText="1"/>
    </xf>
    <xf numFmtId="180" fontId="32" fillId="3" borderId="22" xfId="0" applyNumberFormat="1" applyFont="1" applyFill="1" applyBorder="0" applyAlignment="1" applyProtection="0">
      <alignment horizontal="right" vertical="bottom" wrapText="1"/>
    </xf>
    <xf numFmtId="0" fontId="22" fillId="3" borderId="24" xfId="0" applyNumberFormat="0" applyFont="1" applyFill="1" applyBorder="0" applyAlignment="1" applyProtection="0">
      <alignment vertical="bottom" wrapText="1"/>
    </xf>
    <xf numFmtId="180" fontId="33" fillId="33" borderId="22" xfId="0" applyNumberFormat="1" applyFont="1" applyFill="1" applyBorder="0" applyAlignment="1" applyProtection="0">
      <alignment horizontal="center" vertical="center" wrapText="1"/>
    </xf>
    <xf numFmtId="0" fontId="13" fillId="3" borderId="22" xfId="0" applyNumberFormat="0" applyFont="1" applyFill="1" applyBorder="0" applyAlignment="1" applyProtection="0">
      <alignment horizontal="center" vertical="bottom" wrapText="1"/>
    </xf>
    <xf numFmtId="0" fontId="1" fillId="3" borderId="0" xfId="0" applyNumberFormat="0" applyFont="1" applyFill="1" applyBorder="0" applyAlignment="1" applyProtection="0">
      <alignment vertical="center"/>
    </xf>
    <xf numFmtId="0" fontId="4" fillId="3" borderId="22" xfId="0" applyNumberFormat="0" applyFont="1" applyFill="1" applyBorder="0" applyAlignment="1" applyProtection="0">
      <alignment vertical="center"/>
    </xf>
    <xf numFmtId="0" fontId="34" fillId="34" borderId="22" xfId="0" applyNumberFormat="0" applyFont="1" applyFill="1" applyBorder="0" applyAlignment="1" applyProtection="0">
      <alignment vertical="center"/>
    </xf>
    <xf numFmtId="0" fontId="1" fillId="3" borderId="22" xfId="0" applyNumberFormat="0" applyFont="1" applyFill="1" applyBorder="0" applyAlignment="1" applyProtection="0">
      <alignment vertical="center"/>
    </xf>
    <xf numFmtId="0" fontId="1" fillId="3" borderId="24" xfId="0" applyNumberFormat="0" applyFont="1" applyFill="1" applyBorder="0" applyAlignment="1" applyProtection="0">
      <alignment vertical="center"/>
    </xf>
    <xf numFmtId="0" fontId="4" fillId="35" borderId="0" xfId="0" applyNumberFormat="0" applyFont="1" applyFill="1" applyBorder="0" applyAlignment="1" applyProtection="0">
      <alignment horizontal="center" vertical="center"/>
    </xf>
    <xf numFmtId="0" fontId="4" fillId="35" borderId="0" xfId="0" applyNumberFormat="0" applyFont="1" applyFill="1" applyBorder="0" applyAlignment="1" applyProtection="0">
      <alignment vertical="center" wrapText="1"/>
    </xf>
    <xf numFmtId="0" fontId="4" fillId="35" borderId="0" xfId="0" applyNumberFormat="0" applyFont="1" applyFill="1" applyBorder="0" applyAlignment="1" applyProtection="0">
      <alignment horizontal="center" vertical="center" wrapText="1"/>
    </xf>
    <xf numFmtId="0" fontId="1" fillId="35" borderId="0" xfId="0" applyNumberFormat="0" applyFont="1" applyFill="1" applyBorder="0" applyAlignment="1" applyProtection="0">
      <alignment vertical="center" wrapText="1"/>
    </xf>
    <xf numFmtId="0" fontId="4" fillId="36" borderId="0" xfId="0" applyNumberFormat="0" applyFont="1" applyFill="1" applyBorder="0" applyAlignment="1" applyProtection="0">
      <alignment horizontal="center" vertical="center" wrapText="1"/>
    </xf>
    <xf numFmtId="0" fontId="4" fillId="36" borderId="0" xfId="0" applyNumberFormat="0" applyFont="1" applyFill="1" applyBorder="0" applyAlignment="1" applyProtection="0">
      <alignment vertical="center" wrapText="1"/>
    </xf>
    <xf numFmtId="0" fontId="1" fillId="3" borderId="0" xfId="0" applyNumberFormat="0" applyFont="1" applyFill="1" applyBorder="0" applyAlignment="1" applyProtection="0">
      <alignment vertical="center" wrapText="1"/>
    </xf>
    <xf numFmtId="0" fontId="1" fillId="3" borderId="0" xfId="0" applyNumberFormat="0" applyFont="1" applyFill="1" applyBorder="0" applyAlignment="1" applyProtection="0">
      <alignment horizontal="center" vertical="center"/>
    </xf>
    <xf numFmtId="0" fontId="1" fillId="3" borderId="0" xfId="0" applyNumberFormat="0" applyFont="1" applyFill="1" applyBorder="0" applyAlignment="1" applyProtection="0">
      <alignment vertical="center"/>
    </xf>
    <xf numFmtId="0" fontId="1" fillId="3" borderId="0" xfId="0" applyNumberFormat="0" applyFont="1" applyFill="1" applyBorder="0" applyAlignment="1" applyProtection="0">
      <alignment vertical="center" wrapText="1"/>
    </xf>
    <xf numFmtId="0" fontId="1" fillId="3" borderId="0" xfId="0" applyNumberFormat="0" applyFont="1" applyFill="1" applyBorder="0" applyAlignment="1" applyProtection="0">
      <alignment vertical="center"/>
    </xf>
    <xf numFmtId="0" fontId="1" fillId="3" borderId="0" xfId="0" applyNumberFormat="0" applyFont="1" applyFill="1" applyBorder="0" applyAlignment="1" applyProtection="0">
      <alignment vertical="center" wrapText="1"/>
    </xf>
    <xf numFmtId="0" fontId="1" fillId="3" borderId="0" xfId="0" applyNumberFormat="0" applyFont="1" applyFill="1" applyBorder="0" applyAlignment="1" applyProtection="0">
      <alignment horizontal="center" vertical="center"/>
    </xf>
    <xf numFmtId="0" fontId="4" fillId="37" borderId="25" xfId="0" applyNumberFormat="0" applyFont="1" applyFill="1" applyBorder="0" applyAlignment="1" applyProtection="0">
      <alignment horizontal="center" vertical="center" wrapText="1"/>
    </xf>
    <xf numFmtId="0" fontId="4" fillId="38" borderId="26" xfId="0" applyNumberFormat="0" applyFont="1" applyFill="1" applyBorder="0" applyAlignment="1" applyProtection="0">
      <alignment horizontal="center" vertical="center" wrapText="1"/>
    </xf>
    <xf numFmtId="0" fontId="4" fillId="37" borderId="27" xfId="0" applyNumberFormat="0" applyFont="1" applyFill="1" applyBorder="0" applyAlignment="1" applyProtection="0">
      <alignment horizontal="center" vertical="center" wrapText="1"/>
    </xf>
    <xf numFmtId="0" fontId="34" fillId="3" borderId="25" xfId="0" applyNumberFormat="0" applyFont="1" applyFill="1" applyBorder="0" applyAlignment="1" applyProtection="0">
      <alignment vertical="center" wrapText="1"/>
    </xf>
    <xf numFmtId="0" fontId="4" fillId="3" borderId="25" xfId="0" applyNumberFormat="0" applyFont="1" applyFill="1" applyBorder="0" applyAlignment="1" applyProtection="0">
      <alignment horizontal="center" vertical="center" wrapText="1"/>
    </xf>
    <xf numFmtId="0" fontId="4" fillId="3" borderId="0" xfId="0" applyNumberFormat="0" applyFont="1" applyFill="1" applyBorder="0" applyAlignment="1" applyProtection="0">
      <alignment horizontal="center" vertical="center" wrapText="1"/>
    </xf>
    <xf numFmtId="0" fontId="1" fillId="3" borderId="25" xfId="0" applyNumberFormat="0" applyFont="1" applyFill="1" applyBorder="0" applyAlignment="1" applyProtection="0">
      <alignment vertical="center" wrapText="1"/>
    </xf>
    <xf numFmtId="0" fontId="1" fillId="3" borderId="25" xfId="0" applyNumberFormat="0" applyFont="1" applyFill="1" applyBorder="0" applyAlignment="1" applyProtection="0">
      <alignment vertical="center"/>
    </xf>
    <xf numFmtId="181" fontId="1" fillId="3" borderId="27" xfId="0" applyNumberFormat="1" applyFont="1" applyFill="1" applyBorder="0" applyAlignment="1" applyProtection="0">
      <alignment vertical="center"/>
    </xf>
    <xf numFmtId="182" fontId="1" fillId="3" borderId="25" xfId="0" applyNumberFormat="1" applyFont="1" applyFill="1" applyBorder="0" applyAlignment="1" applyProtection="0">
      <alignment vertical="center"/>
    </xf>
    <xf numFmtId="182" fontId="1" fillId="3" borderId="28" xfId="0" applyNumberFormat="1" applyFont="1" applyFill="1" applyBorder="0" applyAlignment="1" applyProtection="0">
      <alignment vertical="center"/>
    </xf>
    <xf numFmtId="182" fontId="35" fillId="3" borderId="25" xfId="0" applyNumberFormat="1" applyFont="1" applyFill="1" applyBorder="0" applyAlignment="1" applyProtection="0">
      <alignment vertical="center" wrapText="1"/>
    </xf>
    <xf numFmtId="182" fontId="1" fillId="3" borderId="27" xfId="0" applyNumberFormat="1" applyFont="1" applyFill="1" applyBorder="0" applyAlignment="1" applyProtection="0">
      <alignment vertical="center"/>
    </xf>
    <xf numFmtId="0" fontId="1" fillId="3" borderId="25" xfId="0" applyNumberFormat="0" applyFont="1" applyFill="1" applyBorder="0" applyAlignment="1" applyProtection="0">
      <alignment vertical="center" wrapText="1"/>
    </xf>
    <xf numFmtId="182" fontId="1" fillId="3" borderId="25" xfId="0" applyNumberFormat="1" applyFont="1" applyFill="1" applyBorder="0" applyAlignment="1" applyProtection="0">
      <alignment vertical="center" wrapText="1"/>
    </xf>
    <xf numFmtId="0" fontId="1" fillId="3" borderId="0" xfId="0" applyNumberFormat="0" applyFont="1" applyFill="1" applyBorder="0" applyAlignment="1" applyProtection="0">
      <alignment vertical="center"/>
    </xf>
    <xf numFmtId="0" fontId="1" fillId="3" borderId="27" xfId="0" applyNumberFormat="0" applyFont="1" applyFill="1" applyBorder="0" applyAlignment="1" applyProtection="0">
      <alignment vertical="center"/>
    </xf>
    <xf numFmtId="182" fontId="35" fillId="3" borderId="28" xfId="0" applyNumberFormat="1" applyFont="1" applyFill="1" applyBorder="0" applyAlignment="1" applyProtection="0">
      <alignment vertical="center" wrapText="1"/>
    </xf>
    <xf numFmtId="182" fontId="35" fillId="3" borderId="25" xfId="0" applyNumberFormat="1" applyFont="1" applyFill="1" applyBorder="0" applyAlignment="1" applyProtection="0">
      <alignment vertical="center" wrapText="1"/>
    </xf>
    <xf numFmtId="182" fontId="35" fillId="3" borderId="27" xfId="0" applyNumberFormat="1" applyFont="1" applyFill="1" applyBorder="0" applyAlignment="1" applyProtection="0">
      <alignment vertical="center" wrapText="1"/>
    </xf>
    <xf numFmtId="182" fontId="34" fillId="3" borderId="25" xfId="0" applyNumberFormat="1" applyFont="1" applyFill="1" applyBorder="0" applyAlignment="1" applyProtection="0">
      <alignment vertical="center" wrapText="1"/>
    </xf>
    <xf numFmtId="0" fontId="1" fillId="3" borderId="0" xfId="0" applyNumberFormat="0" applyFont="1" applyFill="1" applyBorder="0" applyAlignment="1" applyProtection="0">
      <alignment vertical="center"/>
    </xf>
    <xf numFmtId="182" fontId="35" fillId="3" borderId="26" xfId="0" applyNumberFormat="1" applyFont="1" applyFill="1" applyBorder="0" applyAlignment="1" applyProtection="0">
      <alignment vertical="center" wrapText="1"/>
    </xf>
    <xf numFmtId="182" fontId="1" fillId="3" borderId="26" xfId="0" applyNumberFormat="1" applyFont="1" applyFill="1" applyBorder="0" applyAlignment="1" applyProtection="0">
      <alignment vertical="center"/>
    </xf>
    <xf numFmtId="182" fontId="35" fillId="3" borderId="26" xfId="0" applyNumberFormat="1" applyFont="1" applyFill="1" applyBorder="0" applyAlignment="1" applyProtection="0">
      <alignment vertical="center" wrapText="1"/>
    </xf>
    <xf numFmtId="0" fontId="35" fillId="3" borderId="25" xfId="0" applyNumberFormat="0" applyFont="1" applyFill="1" applyBorder="0" applyAlignment="1" applyProtection="0">
      <alignment vertical="center" wrapText="1"/>
    </xf>
    <xf numFmtId="0" fontId="1" fillId="3" borderId="0" xfId="0" applyNumberFormat="0" applyFont="1" applyFill="1" applyBorder="0" applyAlignment="1" applyProtection="0">
      <alignment vertical="center" wrapText="1"/>
    </xf>
    <xf numFmtId="0" fontId="1" fillId="3" borderId="26" xfId="0" applyNumberFormat="0" applyFont="1" applyFill="1" applyBorder="0" applyAlignment="1" applyProtection="0">
      <alignment vertical="center" wrapText="1"/>
    </xf>
    <xf numFmtId="0" fontId="1" fillId="3" borderId="26" xfId="0" applyNumberFormat="0" applyFont="1" applyFill="1" applyBorder="0" applyAlignment="1" applyProtection="0">
      <alignment vertical="center"/>
    </xf>
    <xf numFmtId="0" fontId="1" fillId="3" borderId="29" xfId="0" applyNumberFormat="0" applyFont="1" applyFill="1" applyBorder="0" applyAlignment="1" applyProtection="0">
      <alignment vertical="center"/>
    </xf>
    <xf numFmtId="182" fontId="35" fillId="3" borderId="0" xfId="0" applyNumberFormat="1" applyFont="1" applyFill="1" applyBorder="0" applyAlignment="1" applyProtection="0">
      <alignment vertical="center" wrapText="1"/>
    </xf>
    <xf numFmtId="182" fontId="1" fillId="3" borderId="30" xfId="0" applyNumberFormat="1" applyFont="1" applyFill="1" applyBorder="0" applyAlignment="1" applyProtection="0">
      <alignment vertical="center"/>
    </xf>
    <xf numFmtId="0" fontId="4" fillId="3" borderId="25" xfId="0" applyNumberFormat="0" applyFont="1" applyFill="1" applyBorder="0" applyAlignment="1" applyProtection="0">
      <alignment horizontal="center" vertical="center"/>
    </xf>
    <xf numFmtId="182" fontId="4" fillId="3" borderId="25" xfId="0" applyNumberFormat="1" applyFont="1" applyFill="1" applyBorder="0" applyAlignment="1" applyProtection="0">
      <alignment vertical="center"/>
    </xf>
    <xf numFmtId="0" fontId="4" fillId="3" borderId="25" xfId="0" applyNumberFormat="0" applyFont="1" applyFill="1" applyBorder="0" applyAlignment="1" applyProtection="0">
      <alignment vertical="center"/>
    </xf>
    <xf numFmtId="182" fontId="4" fillId="3" borderId="30" xfId="0" applyNumberFormat="1" applyFont="1" applyFill="1" applyBorder="0" applyAlignment="1" applyProtection="0">
      <alignment vertical="center"/>
    </xf>
    <xf numFmtId="182" fontId="4" fillId="3" borderId="27" xfId="0" applyNumberFormat="1" applyFont="1" applyFill="1" applyBorder="0" applyAlignment="1" applyProtection="0">
      <alignment vertical="center"/>
    </xf>
    <xf numFmtId="0" fontId="36" fillId="39" borderId="0" xfId="0" applyNumberFormat="0" applyFont="1" applyFill="1" applyBorder="0" applyAlignment="1" applyProtection="0">
      <alignment horizontal="center" vertical="center" wrapText="1"/>
    </xf>
    <xf numFmtId="0" fontId="36" fillId="39" borderId="0" xfId="0" applyNumberFormat="0" applyFont="1" applyFill="1" applyBorder="0" applyAlignment="1" applyProtection="0">
      <alignment horizontal="left" vertical="center" wrapText="1"/>
    </xf>
    <xf numFmtId="0" fontId="36" fillId="39" borderId="0" xfId="0" applyNumberFormat="0" applyFont="1" applyFill="1" applyBorder="0" applyAlignment="1" applyProtection="0">
      <alignment horizontal="center" vertical="center"/>
    </xf>
    <xf numFmtId="183" fontId="36" fillId="39" borderId="0" xfId="0" applyNumberFormat="1" applyFont="1" applyFill="1" applyBorder="0" applyAlignment="1" applyProtection="0">
      <alignment horizontal="center" vertical="center" wrapText="1"/>
    </xf>
    <xf numFmtId="0" fontId="36" fillId="39" borderId="0" xfId="0" applyNumberFormat="0" applyFont="1" applyFill="1" applyBorder="0" applyAlignment="1" applyProtection="0">
      <alignment horizontal="center" vertical="center"/>
    </xf>
    <xf numFmtId="184" fontId="36" fillId="39" borderId="0" xfId="0" applyNumberFormat="1" applyFont="1" applyFill="1" applyBorder="0" applyAlignment="1" applyProtection="0">
      <alignment horizontal="center" vertical="center"/>
    </xf>
    <xf numFmtId="0" fontId="36" fillId="39" borderId="0" xfId="0" applyNumberFormat="0" applyFont="1" applyFill="1" applyBorder="0" applyAlignment="1" applyProtection="0">
      <alignment horizontal="center" vertical="center" wrapText="1"/>
    </xf>
    <xf numFmtId="183" fontId="36" fillId="39" borderId="0" xfId="0" applyNumberFormat="1" applyFont="1" applyFill="1" applyBorder="0" applyAlignment="1" applyProtection="0">
      <alignment horizontal="center" vertical="center" wrapText="1"/>
    </xf>
    <xf numFmtId="185" fontId="36" fillId="39" borderId="0" xfId="0" applyNumberFormat="1" applyFont="1" applyFill="1" applyBorder="0" applyAlignment="1" applyProtection="0">
      <alignment horizontal="center" vertical="center"/>
    </xf>
    <xf numFmtId="185" fontId="36" fillId="39" borderId="0" xfId="0" applyNumberFormat="1" applyFont="1" applyFill="1" applyBorder="0" applyAlignment="1" applyProtection="0">
      <alignment horizontal="center" vertical="center"/>
    </xf>
    <xf numFmtId="185" fontId="36" fillId="39" borderId="0" xfId="0" applyNumberFormat="1" applyFont="1" applyFill="1" applyBorder="0" applyAlignment="1" applyProtection="0">
      <alignment horizontal="center" vertical="center"/>
    </xf>
    <xf numFmtId="0" fontId="37" fillId="3" borderId="31" xfId="0" applyNumberFormat="0" applyFont="1" applyFill="1" applyBorder="0" applyAlignment="1" applyProtection="0">
      <alignment horizontal="center" vertical="center"/>
    </xf>
    <xf numFmtId="0" fontId="38" fillId="3" borderId="32" xfId="0" applyNumberFormat="0" applyFont="1" applyFill="1" applyBorder="0" applyAlignment="1" applyProtection="0">
      <alignment horizontal="left" vertical="center"/>
    </xf>
    <xf numFmtId="0" fontId="39" fillId="3" borderId="32" xfId="0" applyNumberFormat="0" applyFont="1" applyFill="1" applyBorder="0" applyAlignment="1" applyProtection="0">
      <alignment horizontal="center" vertical="center"/>
    </xf>
    <xf numFmtId="0" fontId="40" fillId="3" borderId="32" xfId="0" applyNumberFormat="0" applyFont="1" applyFill="1" applyBorder="0" applyAlignment="1" applyProtection="0">
      <alignment horizontal="left" vertical="top" wrapText="1"/>
    </xf>
    <xf numFmtId="183" fontId="40" fillId="3" borderId="32" xfId="0" applyNumberFormat="1" applyFont="1" applyFill="1" applyBorder="0" applyAlignment="1" applyProtection="0">
      <alignment horizontal="left" vertical="top" wrapText="1"/>
    </xf>
    <xf numFmtId="0" fontId="38" fillId="3" borderId="32" xfId="0" applyNumberFormat="0" applyFont="1" applyFill="1" applyBorder="0" applyAlignment="1" applyProtection="0">
      <alignment horizontal="center" vertical="center"/>
    </xf>
    <xf numFmtId="0" fontId="35" fillId="3" borderId="0" xfId="0" applyNumberFormat="0" applyFont="1" applyFill="1" applyBorder="0" applyAlignment="1" applyProtection="0">
      <alignment vertical="center"/>
    </xf>
    <xf numFmtId="0" fontId="38" fillId="40" borderId="32" xfId="0" applyNumberFormat="0" applyFont="1" applyFill="1" applyBorder="0" applyAlignment="1" applyProtection="0">
      <alignment horizontal="center" vertical="center"/>
    </xf>
    <xf numFmtId="0" fontId="38" fillId="3" borderId="32" xfId="0" applyNumberFormat="0" applyFont="1" applyFill="1" applyBorder="0" applyAlignment="1" applyProtection="0">
      <alignment vertical="bottom"/>
    </xf>
    <xf numFmtId="0" fontId="37" fillId="3" borderId="33" xfId="0" applyNumberFormat="0" applyFont="1" applyFill="1" applyBorder="0" applyAlignment="1" applyProtection="0">
      <alignment horizontal="center" vertical="center"/>
    </xf>
    <xf numFmtId="0" fontId="38" fillId="3" borderId="0" xfId="0" applyNumberFormat="0" applyFont="1" applyFill="1" applyBorder="0" applyAlignment="1" applyProtection="0">
      <alignment horizontal="left" vertical="center"/>
    </xf>
    <xf numFmtId="0" fontId="39" fillId="3" borderId="0" xfId="0" applyNumberFormat="0" applyFont="1" applyFill="1" applyBorder="0" applyAlignment="1" applyProtection="0">
      <alignment horizontal="center" vertical="center"/>
    </xf>
    <xf numFmtId="0" fontId="40" fillId="3" borderId="0" xfId="0" applyNumberFormat="0" applyFont="1" applyFill="1" applyBorder="0" applyAlignment="1" applyProtection="0">
      <alignment horizontal="left" vertical="top" wrapText="1"/>
    </xf>
    <xf numFmtId="183" fontId="40" fillId="3" borderId="0" xfId="0" applyNumberFormat="1" applyFont="1" applyFill="1" applyBorder="0" applyAlignment="1" applyProtection="0">
      <alignment horizontal="left" vertical="top" wrapText="1"/>
    </xf>
    <xf numFmtId="0" fontId="38" fillId="3" borderId="0" xfId="0" applyNumberFormat="0" applyFont="1" applyFill="1" applyBorder="0" applyAlignment="1" applyProtection="0">
      <alignment horizontal="center" vertical="center"/>
    </xf>
    <xf numFmtId="0" fontId="38" fillId="40" borderId="0" xfId="0" applyNumberFormat="0" applyFont="1" applyFill="1" applyBorder="0" applyAlignment="1" applyProtection="0">
      <alignment horizontal="center" vertical="center"/>
    </xf>
    <xf numFmtId="0" fontId="38" fillId="3" borderId="0" xfId="0" applyNumberFormat="0" applyFont="1" applyFill="1" applyBorder="0" applyAlignment="1" applyProtection="0">
      <alignment horizontal="left" vertical="center"/>
    </xf>
    <xf numFmtId="183" fontId="40" fillId="3" borderId="0" xfId="0" applyNumberFormat="1" applyFont="1" applyFill="1" applyBorder="0" applyAlignment="1" applyProtection="0">
      <alignment horizontal="left" vertical="top" wrapText="1"/>
    </xf>
    <xf numFmtId="0" fontId="38" fillId="41" borderId="0" xfId="0" applyNumberFormat="0" applyFont="1" applyFill="1" applyBorder="0" applyAlignment="1" applyProtection="0">
      <alignment horizontal="center" vertical="center"/>
    </xf>
    <xf numFmtId="0" fontId="38" fillId="3" borderId="0" xfId="0" applyNumberFormat="0" applyFont="1" applyFill="1" applyBorder="0" applyAlignment="1" applyProtection="0">
      <alignment vertical="bottom"/>
    </xf>
    <xf numFmtId="0" fontId="37" fillId="3" borderId="34" xfId="0" applyNumberFormat="0" applyFont="1" applyFill="1" applyBorder="0" applyAlignment="1" applyProtection="0">
      <alignment horizontal="center" vertical="center"/>
    </xf>
    <xf numFmtId="0" fontId="38" fillId="3" borderId="35" xfId="0" applyNumberFormat="0" applyFont="1" applyFill="1" applyBorder="0" applyAlignment="1" applyProtection="0">
      <alignment horizontal="left" vertical="center"/>
    </xf>
    <xf numFmtId="0" fontId="39" fillId="3" borderId="35" xfId="0" applyNumberFormat="0" applyFont="1" applyFill="1" applyBorder="0" applyAlignment="1" applyProtection="0">
      <alignment horizontal="center" vertical="center"/>
    </xf>
    <xf numFmtId="0" fontId="38" fillId="3" borderId="35" xfId="0" applyNumberFormat="0" applyFont="1" applyFill="1" applyBorder="0" applyAlignment="1" applyProtection="0">
      <alignment horizontal="center" vertical="center"/>
    </xf>
    <xf numFmtId="183" fontId="38" fillId="3" borderId="35" xfId="0" applyNumberFormat="1" applyFont="1" applyFill="1" applyBorder="0" applyAlignment="1" applyProtection="0">
      <alignment horizontal="center" vertical="center" wrapText="1"/>
    </xf>
    <xf numFmtId="0" fontId="35" fillId="3" borderId="36" xfId="0" applyNumberFormat="0" applyFont="1" applyFill="1" applyBorder="0" applyAlignment="1" applyProtection="0">
      <alignment vertical="center"/>
    </xf>
    <xf numFmtId="0" fontId="38" fillId="41" borderId="35" xfId="0" applyNumberFormat="0" applyFont="1" applyFill="1" applyBorder="0" applyAlignment="1" applyProtection="0">
      <alignment horizontal="center" vertical="center"/>
    </xf>
    <xf numFmtId="0" fontId="37" fillId="3" borderId="33" xfId="0" applyNumberFormat="0" applyFont="1" applyFill="1" applyBorder="0" applyAlignment="1" applyProtection="0">
      <alignment horizontal="center" vertical="center"/>
    </xf>
    <xf numFmtId="0" fontId="38" fillId="42" borderId="0" xfId="0" applyNumberFormat="0" applyFont="1" applyFill="1" applyBorder="0" applyAlignment="1" applyProtection="0">
      <alignment horizontal="center" vertical="center"/>
    </xf>
    <xf numFmtId="183" fontId="38" fillId="3" borderId="0" xfId="0" applyNumberFormat="1" applyFont="1" applyFill="1" applyBorder="0" applyAlignment="1" applyProtection="0">
      <alignment horizontal="center" vertical="center" wrapText="1"/>
    </xf>
    <xf numFmtId="0" fontId="38" fillId="43" borderId="0" xfId="0" applyNumberFormat="0" applyFont="1" applyFill="1" applyBorder="0" applyAlignment="1" applyProtection="0">
      <alignment horizontal="center" vertical="center"/>
    </xf>
    <xf numFmtId="183" fontId="38" fillId="3" borderId="35" xfId="0" applyNumberFormat="1" applyFont="1" applyFill="1" applyBorder="0" applyAlignment="1" applyProtection="0">
      <alignment horizontal="center" vertical="center"/>
    </xf>
    <xf numFmtId="0" fontId="38" fillId="3" borderId="36" xfId="0" applyNumberFormat="0" applyFont="1" applyFill="1" applyBorder="0" applyAlignment="1" applyProtection="0">
      <alignment horizontal="center" vertical="center"/>
    </xf>
    <xf numFmtId="0" fontId="38" fillId="43" borderId="35" xfId="0" applyNumberFormat="0" applyFont="1" applyFill="1" applyBorder="0" applyAlignment="1" applyProtection="0">
      <alignment horizontal="center" vertical="center"/>
    </xf>
    <xf numFmtId="0" fontId="38" fillId="43" borderId="0" xfId="0" applyNumberFormat="0" applyFont="1" applyFill="1" applyBorder="0" applyAlignment="1" applyProtection="0">
      <alignment vertical="bottom"/>
    </xf>
    <xf numFmtId="0" fontId="38" fillId="44" borderId="0" xfId="0" applyNumberFormat="0" applyFont="1" applyFill="1" applyBorder="0" applyAlignment="1" applyProtection="0">
      <alignment horizontal="center" vertical="center"/>
    </xf>
    <xf numFmtId="0" fontId="41" fillId="45" borderId="0" xfId="0" applyNumberFormat="0" applyFont="1" applyFill="1" applyBorder="0" applyAlignment="1" applyProtection="0">
      <alignment horizontal="center" vertical="center"/>
    </xf>
    <xf numFmtId="0" fontId="41" fillId="46" borderId="0" xfId="0" applyNumberFormat="0" applyFont="1" applyFill="1" applyBorder="0" applyAlignment="1" applyProtection="0">
      <alignment horizontal="center" vertical="center"/>
    </xf>
    <xf numFmtId="0" fontId="41" fillId="43" borderId="35" xfId="0" applyNumberFormat="0" applyFont="1" applyFill="1" applyBorder="0" applyAlignment="1" applyProtection="0">
      <alignment horizontal="center" vertical="center"/>
    </xf>
    <xf numFmtId="0" fontId="37" fillId="3" borderId="33" xfId="0" applyNumberFormat="0" applyFont="1" applyFill="1" applyBorder="0" applyAlignment="1" applyProtection="0">
      <alignment horizontal="center" vertical="center" wrapText="1"/>
    </xf>
    <xf numFmtId="0" fontId="37" fillId="3" borderId="33" xfId="0" applyNumberFormat="0" applyFont="1" applyFill="1" applyBorder="0" applyAlignment="1" applyProtection="0">
      <alignment horizontal="center" vertical="center" wrapText="1"/>
    </xf>
    <xf numFmtId="0" fontId="37" fillId="3" borderId="37" xfId="0" applyNumberFormat="0" applyFont="1" applyFill="1" applyBorder="0" applyAlignment="1" applyProtection="0">
      <alignment horizontal="center" vertical="center" wrapText="1"/>
    </xf>
    <xf numFmtId="0" fontId="38" fillId="3" borderId="36" xfId="0" applyNumberFormat="0" applyFont="1" applyFill="1" applyBorder="0" applyAlignment="1" applyProtection="0">
      <alignment horizontal="left" vertical="center"/>
    </xf>
    <xf numFmtId="0" fontId="38" fillId="3" borderId="0" xfId="0" applyNumberFormat="0" applyFont="1" applyFill="1" applyBorder="0" applyAlignment="1" applyProtection="0">
      <alignment horizontal="center" vertical="center"/>
    </xf>
    <xf numFmtId="0" fontId="37" fillId="3" borderId="37" xfId="0" applyNumberFormat="0" applyFont="1" applyFill="1" applyBorder="0" applyAlignment="1" applyProtection="0">
      <alignment horizontal="center" vertical="center"/>
    </xf>
    <xf numFmtId="0" fontId="4" fillId="3" borderId="0" xfId="0" applyNumberFormat="0" applyFont="1" applyFill="1" applyBorder="0" applyAlignment="1" applyProtection="0">
      <alignment vertical="center"/>
    </xf>
    <xf numFmtId="0" fontId="1" fillId="3" borderId="0" xfId="0" applyNumberFormat="0" applyFont="1" applyFill="1" applyBorder="0" applyAlignment="1" applyProtection="0">
      <alignment horizontal="left" vertical="center"/>
    </xf>
    <xf numFmtId="183" fontId="1" fillId="3" borderId="0" xfId="0" applyNumberFormat="1" applyFont="1" applyFill="1" applyBorder="0" applyAlignment="1" applyProtection="0">
      <alignment vertical="center"/>
    </xf>
    <xf numFmtId="0" fontId="1" fillId="3" borderId="0" xfId="0" applyNumberFormat="0" applyFont="1" applyFill="1" applyBorder="0" applyAlignment="1" applyProtection="0">
      <alignment vertical="center"/>
    </xf>
    <xf numFmtId="166" fontId="12" fillId="47" borderId="6" xfId="0" applyNumberFormat="1" applyFont="1" applyFill="1" applyBorder="1" applyAlignment="1">
      <alignment vertical="top"/>
    </xf>
    <xf numFmtId="166" fontId="12" fillId="47" borderId="3" xfId="0" applyNumberFormat="1" applyFont="1" applyFill="1" applyBorder="1" applyAlignment="1">
      <alignment vertical="top"/>
    </xf>
    <xf numFmtId="167" fontId="12" fillId="47" borderId="6" xfId="0" applyNumberFormat="1" applyFont="1" applyFill="1" applyBorder="1" applyAlignment="1">
      <alignment vertical="top"/>
    </xf>
    <xf numFmtId="167" fontId="12" fillId="47" borderId="3" xfId="0" applyNumberFormat="1" applyFont="1" applyFill="1" applyBorder="1" applyAlignment="1">
      <alignment vertical="top"/>
    </xf>
    <xf numFmtId="0" fontId="12" fillId="47" borderId="3" xfId="0" applyNumberFormat="1" applyFont="1" applyFill="1" applyBorder="1" applyAlignment="1">
      <alignment vertical="top"/>
    </xf>
    <xf numFmtId="164" fontId="12" fillId="47" borderId="3" xfId="0" applyNumberFormat="1" applyFont="1" applyFill="1" applyBorder="1" applyAlignment="1">
      <alignment vertical="top"/>
    </xf>
    <xf numFmtId="168" fontId="12" fillId="47" borderId="3" xfId="0" applyNumberFormat="1" applyFont="1" applyFill="1" applyBorder="1" applyAlignment="1">
      <alignment vertical="top"/>
    </xf>
    <xf numFmtId="168" fontId="12" fillId="47" borderId="6" xfId="0" applyNumberFormat="1" applyFont="1" applyFill="1" applyBorder="1" applyAlignment="1">
      <alignment vertical="top"/>
    </xf>
    <xf numFmtId="166" fontId="12" fillId="47" borderId="6" xfId="0" applyNumberFormat="1" applyFont="1" applyFill="1" applyBorder="1" applyAlignment="1">
      <alignment vertical="top" wrapText="1"/>
    </xf>
    <xf numFmtId="166" fontId="12" fillId="47" borderId="3" xfId="0" applyNumberFormat="1" applyFont="1" applyFill="1" applyBorder="1" applyAlignment="1">
      <alignment vertical="top" wrapText="1"/>
    </xf>
    <xf numFmtId="168" fontId="12" fillId="47" borderId="6" xfId="0" applyNumberFormat="1" applyFont="1" applyFill="1" applyBorder="1" applyAlignment="1">
      <alignment vertical="top" wrapText="1"/>
    </xf>
    <xf numFmtId="168" fontId="12" fillId="47" borderId="3" xfId="0" applyNumberFormat="1" applyFont="1" applyFill="1" applyBorder="1" applyAlignment="1">
      <alignment vertical="top" wrapText="1"/>
    </xf>
    <xf numFmtId="0" fontId="12" fillId="3" borderId="10" xfId="0" applyNumberFormat="1" applyFont="1" applyFill="1" applyBorder="1" applyAlignment="1">
      <alignment vertical="top" wrapText="1"/>
    </xf>
    <xf numFmtId="0" fontId="12" fillId="3" borderId="7" xfId="0" applyNumberFormat="1" applyFont="1" applyFill="1" applyBorder="1" applyAlignment="1">
      <alignment vertical="top" wrapText="1"/>
    </xf>
    <xf numFmtId="0" fontId="12" fillId="12" borderId="3" xfId="0" applyNumberFormat="1" applyFont="1" applyFill="1" applyBorder="1" applyAlignment="1">
      <alignment vertical="top" wrapText="1"/>
    </xf>
    <xf numFmtId="0" fontId="12" fillId="3" borderId="3" xfId="0" applyNumberFormat="1" applyFont="1" applyFill="1" applyBorder="1" applyAlignment="1">
      <alignment vertical="top" wrapText="1"/>
    </xf>
    <xf numFmtId="0" fontId="12" fillId="47" borderId="3" xfId="0" applyNumberFormat="1" applyFont="1" applyFill="1" applyBorder="1" applyAlignment="1">
      <alignment vertical="top" wrapText="1"/>
    </xf>
    <xf numFmtId="0" fontId="12" fillId="3" borderId="3" xfId="0" applyNumberFormat="1" applyFont="1" applyFill="1" applyBorder="1" applyAlignment="1">
      <alignment vertical="top" wrapText="1"/>
    </xf>
    <xf numFmtId="167" fontId="12" fillId="3" borderId="3" xfId="0" applyNumberFormat="1" applyFont="1" applyFill="1" applyBorder="1" applyAlignment="1">
      <alignment vertical="top" wrapText="1"/>
    </xf>
    <xf numFmtId="166" fontId="10" fillId="7" borderId="3" xfId="0" applyNumberFormat="1" applyFont="1" applyFill="1" applyBorder="1" applyAlignment="1">
      <alignment horizontal="right" vertical="top" wrapText="1"/>
    </xf>
    <xf numFmtId="164" fontId="12" fillId="47" borderId="3" xfId="0" applyNumberFormat="1" applyFont="1" applyFill="1" applyBorder="1" applyAlignment="1">
      <alignment vertical="top" wrapText="1"/>
    </xf>
    <xf numFmtId="164" fontId="12" fillId="2" borderId="3" xfId="0" applyNumberFormat="1" applyFont="1" applyFill="1" applyBorder="1" applyAlignment="1">
      <alignment vertical="top" wrapText="1"/>
    </xf>
    <xf numFmtId="0" fontId="12" fillId="2" borderId="3" xfId="0" applyNumberFormat="1" applyFont="1" applyFill="1" applyBorder="1" applyAlignment="1">
      <alignment vertical="top" wrapText="1"/>
    </xf>
    <xf numFmtId="168" fontId="12" fillId="2" borderId="3" xfId="0" applyNumberFormat="1" applyFont="1" applyFill="1" applyBorder="1" applyAlignment="1">
      <alignment vertical="top" wrapText="1"/>
    </xf>
    <xf numFmtId="166" fontId="12" fillId="3" borderId="3" xfId="0" applyNumberFormat="1" applyFont="1" applyFill="1" applyBorder="1" applyAlignment="1">
      <alignment vertical="top" wrapText="1"/>
    </xf>
    <xf numFmtId="166" fontId="12" fillId="2" borderId="3" xfId="0" applyNumberFormat="1" applyFont="1" applyFill="1" applyBorder="1" applyAlignment="1">
      <alignment vertical="top" wrapText="1"/>
    </xf>
    <xf numFmtId="164" fontId="12" fillId="3" borderId="4" xfId="0" applyNumberFormat="1" applyFont="1" applyFill="1" applyBorder="1" applyAlignment="1">
      <alignment vertical="top" wrapText="1"/>
    </xf>
    <xf numFmtId="0" fontId="12" fillId="3" borderId="4" xfId="0" applyNumberFormat="1" applyFont="1" applyFill="1" applyBorder="1" applyAlignment="1">
      <alignment vertical="top" wrapText="1"/>
    </xf>
    <xf numFmtId="168" fontId="12" fillId="3" borderId="4" xfId="0" applyNumberFormat="1" applyFont="1" applyFill="1" applyBorder="1" applyAlignment="1">
      <alignment vertical="top" wrapText="1"/>
    </xf>
    <xf numFmtId="164" fontId="12" fillId="2" borderId="4" xfId="0" applyNumberFormat="1" applyFont="1" applyFill="1" applyBorder="1" applyAlignment="1">
      <alignment vertical="top" wrapText="1"/>
    </xf>
    <xf numFmtId="0" fontId="12" fillId="2" borderId="4" xfId="0" applyNumberFormat="1" applyFont="1" applyFill="1" applyBorder="1" applyAlignment="1">
      <alignment vertical="top" wrapText="1"/>
    </xf>
    <xf numFmtId="168" fontId="12" fillId="2" borderId="4" xfId="0" applyNumberFormat="1" applyFont="1" applyFill="1" applyBorder="1" applyAlignment="1">
      <alignment vertical="top" wrapText="1"/>
    </xf>
    <xf numFmtId="0" fontId="12" fillId="7" borderId="3" xfId="0" applyNumberFormat="1" applyFont="1" applyFill="1" applyBorder="1" applyAlignment="1">
      <alignment vertical="top" wrapText="1"/>
    </xf>
    <xf numFmtId="0" fontId="0" fillId="47" borderId="0" xfId="0" applyNumberFormat="1" applyFont="1" applyFill="1" applyBorder="1" applyAlignment="1">
      <alignment vertical="center"/>
    </xf>
    <xf numFmtId="0" fontId="0" fillId="48" borderId="0" xfId="0" applyNumberFormat="1" applyFont="1" applyFill="1" applyBorder="1" applyAlignment="1">
      <alignment vertical="center"/>
    </xf>
    <xf numFmtId="0" fontId="42" fillId="48" borderId="0" xfId="0" applyNumberFormat="1" applyFont="1" applyFill="1" applyBorder="1" applyAlignment="1">
      <alignment vertical="center"/>
    </xf>
    <xf numFmtId="0" fontId="31" fillId="49" borderId="3" xfId="0" applyNumberFormat="1" applyFont="1" applyFill="1" applyBorder="1" applyAlignment="1">
      <alignment horizontal="center" vertical="bottom" wrapText="1"/>
    </xf>
    <xf numFmtId="0" fontId="31" fillId="49" borderId="4" xfId="0" applyNumberFormat="1" applyFont="1" applyFill="1" applyBorder="1" applyAlignment="1">
      <alignment horizontal="center" vertical="center" wrapText="1"/>
    </xf>
    <xf numFmtId="0" fontId="43" fillId="49" borderId="3" xfId="0" applyNumberFormat="1" applyFont="1" applyFill="1" applyBorder="1" applyAlignment="1">
      <alignment horizontal="center" vertical="bottom" wrapText="1"/>
    </xf>
    <xf numFmtId="0" fontId="43" fillId="49" borderId="4" xfId="0" applyNumberFormat="1" applyFont="1" applyFill="1" applyBorder="1" applyAlignment="1">
      <alignment horizontal="center" vertical="center" wrapText="1"/>
    </xf>
    <xf numFmtId="0" fontId="43" fillId="49" borderId="3" xfId="0" applyNumberFormat="1" applyFont="1" applyFill="1" applyBorder="1" applyAlignment="1">
      <alignment horizontal="center" vertical="center" wrapText="1"/>
    </xf>
    <xf numFmtId="0" fontId="43" fillId="49" borderId="38" xfId="0" applyNumberFormat="1" applyFont="1" applyFill="1" applyBorder="1" applyAlignment="1">
      <alignment horizontal="center" vertical="center" wrapText="1"/>
    </xf>
    <xf numFmtId="0" fontId="44" fillId="3" borderId="3" xfId="0" applyNumberFormat="1" applyFont="1" applyFill="1" applyBorder="1" applyAlignment="1">
      <alignment horizontal="center" vertical="bottom" wrapText="1"/>
    </xf>
    <xf numFmtId="0" fontId="44" fillId="3" borderId="3" xfId="0" applyNumberFormat="1" applyFont="1" applyFill="1" applyBorder="1" applyAlignment="1">
      <alignment vertical="bottom" wrapText="1"/>
    </xf>
    <xf numFmtId="167" fontId="44" fillId="3" borderId="3" xfId="0" applyNumberFormat="1" applyFont="1" applyFill="1" applyBorder="1" applyAlignment="1">
      <alignment horizontal="right" vertical="bottom" wrapText="1"/>
    </xf>
    <xf numFmtId="0" fontId="44" fillId="3" borderId="5" xfId="0" applyNumberFormat="1" applyFont="1" applyFill="1" applyBorder="1" applyAlignment="1">
      <alignment vertical="bottom" wrapText="1"/>
    </xf>
    <xf numFmtId="0" fontId="45" fillId="3" borderId="0" xfId="0" applyNumberFormat="1" applyFont="1" applyFill="1" applyBorder="1" applyAlignment="1">
      <alignment vertical="center"/>
    </xf>
    <xf numFmtId="0" fontId="46" fillId="3" borderId="3" xfId="0" applyNumberFormat="1" applyFont="1" applyFill="1" applyBorder="1" applyAlignment="1">
      <alignment horizontal="center" vertical="bottom" wrapText="1"/>
    </xf>
    <xf numFmtId="0" fontId="45" fillId="3" borderId="0" xfId="0" applyNumberFormat="1" applyFont="1" applyFill="1" applyBorder="1" applyAlignment="1">
      <alignment vertical="center" wrapText="1"/>
    </xf>
    <xf numFmtId="0" fontId="44" fillId="3" borderId="3" xfId="0" applyNumberFormat="1" applyFont="1" applyFill="1" applyBorder="1" applyAlignment="1">
      <alignment horizontal="center" vertical="top" wrapText="1"/>
    </xf>
    <xf numFmtId="0" fontId="44" fillId="3" borderId="3" xfId="0" applyNumberFormat="1" applyFont="1" applyFill="1" applyBorder="1" applyAlignment="1">
      <alignment vertical="top" wrapText="1"/>
    </xf>
    <xf numFmtId="167" fontId="44" fillId="3" borderId="3" xfId="0" applyNumberFormat="1" applyFont="1" applyFill="1" applyBorder="1" applyAlignment="1">
      <alignment horizontal="right" vertical="top" wrapText="1"/>
    </xf>
    <xf numFmtId="0" fontId="44" fillId="3" borderId="5" xfId="0" applyNumberFormat="1" applyFont="1" applyFill="1" applyBorder="1" applyAlignment="1">
      <alignment vertical="top" wrapText="1"/>
    </xf>
    <xf numFmtId="0" fontId="45" fillId="3" borderId="0" xfId="0" applyNumberFormat="1" applyFont="1" applyFill="1" applyBorder="1" applyAlignment="1">
      <alignment vertical="top" wrapText="1"/>
    </xf>
    <xf numFmtId="0" fontId="46" fillId="3" borderId="3" xfId="0" applyNumberFormat="1" applyFont="1" applyFill="1" applyBorder="1" applyAlignment="1">
      <alignment horizontal="center" vertical="top" wrapText="1"/>
    </xf>
    <xf numFmtId="0" fontId="44" fillId="3" borderId="38" xfId="0" applyNumberFormat="1" applyFont="1" applyFill="1" applyBorder="1" applyAlignment="1">
      <alignment horizontal="center" vertical="top" wrapText="1"/>
    </xf>
    <xf numFmtId="0" fontId="44" fillId="3" borderId="38" xfId="0" applyNumberFormat="1" applyFont="1" applyFill="1" applyBorder="1" applyAlignment="1">
      <alignment vertical="top" wrapText="1"/>
    </xf>
    <xf numFmtId="167" fontId="44" fillId="3" borderId="38" xfId="0" applyNumberFormat="1" applyFont="1" applyFill="1" applyBorder="1" applyAlignment="1">
      <alignment horizontal="right" vertical="top" wrapText="1"/>
    </xf>
    <xf numFmtId="0" fontId="45" fillId="3" borderId="38" xfId="0" applyNumberFormat="1" applyFont="1" applyFill="1" applyBorder="1" applyAlignment="1">
      <alignment vertical="top" wrapText="1"/>
    </xf>
    <xf numFmtId="0" fontId="46" fillId="3" borderId="38" xfId="0" applyNumberFormat="1" applyFont="1" applyFill="1" applyBorder="1" applyAlignment="1">
      <alignment horizontal="center" vertical="top" wrapText="1"/>
    </xf>
    <xf numFmtId="167" fontId="44" fillId="47" borderId="38" xfId="0" applyNumberFormat="1" applyFont="1" applyFill="1" applyBorder="1" applyAlignment="1">
      <alignment horizontal="right" vertical="top" wrapText="1"/>
    </xf>
    <xf numFmtId="0" fontId="45" fillId="50" borderId="38" xfId="0" applyNumberFormat="1" applyFont="1" applyFill="1" applyBorder="1" applyAlignment="1">
      <alignment vertical="top" wrapText="1"/>
    </xf>
    <xf numFmtId="183" fontId="1" fillId="3" borderId="5" xfId="0" applyNumberFormat="1" applyFont="1" applyFill="1" applyBorder="1" applyAlignment="1">
      <alignment vertical="center"/>
    </xf>
    <xf numFmtId="167" fontId="1" fillId="47" borderId="3" xfId="0" applyNumberFormat="1" applyFont="1" applyFill="1" applyBorder="1" applyAlignment="1">
      <alignment vertical="center"/>
    </xf>
    <xf numFmtId="167" fontId="1" fillId="47" borderId="6" xfId="0" applyNumberFormat="1" applyFont="1" applyFill="1" applyBorder="1" applyAlignment="1">
      <alignment vertical="center"/>
    </xf>
    <xf numFmtId="167" fontId="1" fillId="47" borderId="3" xfId="0" applyNumberFormat="1" applyFont="1" applyFill="1" applyBorder="1" applyAlignment="1">
      <alignment vertical="center" wrapText="1"/>
    </xf>
    <xf numFmtId="167" fontId="1" fillId="47" borderId="5" xfId="0" applyNumberFormat="1" applyFont="1" applyFill="1" applyBorder="1" applyAlignment="1">
      <alignment vertical="center"/>
    </xf>
    <xf numFmtId="167" fontId="1" fillId="47" borderId="6" xfId="0" applyNumberFormat="1" applyFont="1" applyFill="1" applyBorder="1" applyAlignment="1">
      <alignment vertical="center" wrapText="1"/>
    </xf>
    <xf numFmtId="167" fontId="1" fillId="47" borderId="5" xfId="0" applyNumberFormat="1" applyFont="1" applyFill="1" applyBorder="1" applyAlignment="1">
      <alignment vertical="center" wrapText="1"/>
    </xf>
    <xf numFmtId="167" fontId="1" fillId="47" borderId="4" xfId="0" applyNumberFormat="1" applyFont="1" applyFill="1" applyBorder="1" applyAlignment="1">
      <alignment vertical="center" wrapText="1"/>
    </xf>
    <xf numFmtId="167" fontId="1" fillId="47" borderId="4" xfId="0" applyNumberFormat="1" applyFont="1" applyFill="1" applyBorder="1" applyAlignment="1">
      <alignment vertical="center"/>
    </xf>
    <xf numFmtId="0" fontId="47" fillId="47" borderId="0" xfId="0" applyNumberFormat="1" applyFont="1" applyFill="1" applyBorder="1" applyAlignment="1">
      <alignment vertical="center"/>
    </xf>
    <xf numFmtId="0" fontId="47" fillId="47" borderId="0" xfId="0" applyNumberFormat="1" applyFont="1" applyFill="1" applyBorder="1" applyAlignment="1">
      <alignment horizontal="center" vertical="center"/>
    </xf>
    <xf numFmtId="0" fontId="0" fillId="49" borderId="0" xfId="0" applyNumberFormat="1" applyFont="1" applyFill="1" applyBorder="1" applyAlignment="1">
      <alignment vertical="center"/>
    </xf>
    <xf numFmtId="0" fontId="48" fillId="49" borderId="0" xfId="0" applyNumberFormat="1" applyFont="1" applyFill="1" applyBorder="1" applyAlignment="1">
      <alignment vertical="center"/>
    </xf>
    <xf numFmtId="0" fontId="48" fillId="49" borderId="0" xfId="0" applyNumberFormat="1" applyFont="1" applyFill="1" applyBorder="1" applyAlignment="1">
      <alignment horizontal="center" vertical="center"/>
    </xf>
    <xf numFmtId="0" fontId="48" fillId="49" borderId="0" xfId="0" applyNumberFormat="1" applyFont="1" applyFill="1" applyBorder="1" applyAlignment="1">
      <alignment horizontal="center" vertical="center" wrapText="1"/>
    </xf>
    <xf numFmtId="0" fontId="48" fillId="49" borderId="38" xfId="0" applyNumberFormat="1" applyFont="1" applyFill="1" applyBorder="1" applyAlignment="1">
      <alignment horizontal="center" vertical="center" wrapText="1"/>
    </xf>
    <xf numFmtId="185" fontId="36" fillId="39" borderId="0" xfId="0" applyNumberFormat="1" applyFont="1" applyFill="1" applyBorder="1" applyAlignment="1">
      <alignment horizontal="center" vertical="center"/>
    </xf>
    <xf numFmtId="183" fontId="40" fillId="3" borderId="32" xfId="0" applyNumberFormat="1" applyFont="1" applyFill="1" applyBorder="1" applyAlignment="1">
      <alignment horizontal="left" vertical="top" wrapText="1"/>
    </xf>
    <xf numFmtId="183" fontId="40" fillId="3" borderId="0" xfId="0" applyNumberFormat="1" applyFont="1" applyFill="1" applyBorder="1" applyAlignment="1">
      <alignment horizontal="left" vertical="top" wrapText="1"/>
    </xf>
    <xf numFmtId="183" fontId="38" fillId="3" borderId="35" xfId="0" applyNumberFormat="1" applyFont="1" applyFill="1" applyBorder="1" applyAlignment="1">
      <alignment horizontal="center" vertical="center" wrapText="1"/>
    </xf>
    <xf numFmtId="183" fontId="38" fillId="3" borderId="0" xfId="0" applyNumberFormat="1" applyFont="1" applyFill="1" applyBorder="1" applyAlignment="1">
      <alignment horizontal="center" vertical="center" wrapText="1"/>
    </xf>
    <xf numFmtId="183" fontId="38" fillId="3" borderId="35" xfId="0" applyNumberFormat="1" applyFont="1" applyFill="1" applyBorder="1" applyAlignment="1">
      <alignment horizontal="center" vertical="center"/>
    </xf>
    <xf numFmtId="0" fontId="49" fillId="49" borderId="0" xfId="0" applyNumberFormat="1" applyFont="1" applyFill="1" applyBorder="1" applyAlignment="1">
      <alignment vertical="center"/>
    </xf>
    <xf numFmtId="0" fontId="49" fillId="49" borderId="0" xfId="0" applyNumberFormat="1" applyFont="1" applyFill="1" applyBorder="1" applyAlignment="1">
      <alignment horizontal="center" vertical="center"/>
    </xf>
  </cellXfs>
  <cellStyles count="1">
    <cellStyle name="Normal" xfId="0"/>
  </cellStyles>
  <dxfs count="1">
    <dxf>
      <fill>
        <patternFill patternType="solid"/>
      </fill>
    </dxf>
  </dxfs>
</styleSheet>
</file>

<file path=xl/_rels/workbook.xml.rels>&#65279;<?xml version="1.0" encoding="utf-8"?><Relationships xmlns="http://schemas.openxmlformats.org/package/2006/relationships"><Relationship Type="http://schemas.openxmlformats.org/officeDocument/2006/relationships/styles" Target="/xl/styles.xml" Id="R554a0e77eb464a11" /><Relationship Type="http://schemas.openxmlformats.org/officeDocument/2006/relationships/theme" Target="/xl/theme/theme1.xml" Id="Rdcbddb85b5ff442c" /><Relationship Type="http://schemas.openxmlformats.org/officeDocument/2006/relationships/sharedStrings" Target="/xl/sharedStrings.xml" Id="Rd60e51e520dc4fb9" /><Relationship Type="http://schemas.openxmlformats.org/officeDocument/2006/relationships/worksheet" Target="/xl/worksheets/sheet1.xml" Id="Refea060c3d294314" /><Relationship Type="http://schemas.openxmlformats.org/officeDocument/2006/relationships/worksheet" Target="/xl/worksheets/sheet2.xml" Id="R0150f8fd5d734ea3" /><Relationship Type="http://schemas.openxmlformats.org/officeDocument/2006/relationships/worksheet" Target="/xl/worksheets/sheet3.xml" Id="R9d4b109f73a249d1" /><Relationship Type="http://schemas.openxmlformats.org/officeDocument/2006/relationships/worksheet" Target="/xl/worksheets/sheet4.xml" Id="Rb5ae41ee62ac449e" /><Relationship Type="http://schemas.openxmlformats.org/officeDocument/2006/relationships/worksheet" Target="/xl/worksheets/sheet5.xml" Id="R583bd7a0ba7647e4" /><Relationship Type="http://schemas.openxmlformats.org/officeDocument/2006/relationships/worksheet" Target="/xl/worksheets/sheet6.xml" Id="R47f399c1532541ad" /><Relationship Type="http://schemas.openxmlformats.org/officeDocument/2006/relationships/worksheet" Target="/xl/worksheets/sheet7.xml" Id="Rf9bcfa7e67cb405a" /><Relationship Type="http://schemas.openxmlformats.org/officeDocument/2006/relationships/worksheet" Target="/xl/worksheets/sheet8.xml" Id="R96ac3a2ad3de4b0b" /><Relationship Type="http://schemas.openxmlformats.org/officeDocument/2006/relationships/worksheet" Target="/xl/worksheets/sheet9.xml" Id="R5710a64665ba4826" /></Relationships>
</file>

<file path=xl/drawings/_rels/drawing1.xml.rels>&#65279;<?xml version="1.0" encoding="utf-8"?><Relationships xmlns="http://schemas.openxmlformats.org/package/2006/relationships"><Relationship Type="http://schemas.openxmlformats.org/officeDocument/2006/relationships/image" Target="/xl/media/image.jpg" Id="R2515ed4155f640e1" /></Relationships>
</file>

<file path=xl/drawings/drawing1.xml><?xml version="1.0" encoding="utf-8"?>
<xdr:wsDr xmlns:xdr="http://schemas.openxmlformats.org/drawingml/2006/spreadsheetDrawing">
  <xdr:twoCellAnchor editAs="oneCell">
    <xdr:from>
      <xdr:col>0</xdr:col>
      <xdr:colOff>38100</xdr:colOff>
      <xdr:row>0</xdr:row>
      <xdr:rowOff>38100</xdr:rowOff>
    </xdr:from>
    <xdr:to>
      <xdr:col>12</xdr:col>
      <xdr:colOff>0</xdr:colOff>
      <xdr:row>30</xdr:row>
      <xdr:rowOff>0</xdr:rowOff>
    </xdr:to>
    <xdr:pic>
      <xdr:nvPicPr>
        <xdr:cNvPr id="1" name="/xl/media/image117.jpeg"/>
        <xdr:cNvPicPr>
          <a:picLocks xmlns:a="http://schemas.openxmlformats.org/drawingml/2006/main" noChangeAspect="1"/>
        </xdr:cNvPicPr>
      </xdr:nvPicPr>
      <xdr:blipFill>
        <a:blip xmlns:r="http://schemas.openxmlformats.org/officeDocument/2006/relationships" xmlns:a="http://schemas.openxmlformats.org/drawingml/2006/main" r:embed="R2515ed4155f640e1"/>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drawing" Target="/xl/drawings/drawing1.xml" Id="Rf91229f4a70a4923" /></Relationships>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 từ 10/2026 đến 09/2027</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ht="44" customHeight="1">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ht="58" customHeight="1">
      <x:c r="A8" s="7"/>
      <x:c r="B8" s="9" t="str">
        <x:v>2. Định vị</x:v>
      </x:c>
      <x:c r="C8" s="10" t="str">
        <x:v>Giúp cá nhân và team đang chuyển từ Chrome/profile thủ công sang một hệ thống multi-account có tổ chức, tách biệt và có thể scale. Điểm thâm nhập là người đã có pain nhiều tài khoản nhưng chưa bị khóa sâu vào công cụ đối thủ.</x:v>
      </x:c>
      <x:c r="D8" s="4"/>
      <x:c r="F8" s="5"/>
      <x:c r="G8" s="5"/>
      <x:c r="H8" s="5"/>
      <x:c r="I8" s="5"/>
      <x:c r="J8" s="5"/>
      <x:c r="K8" s="5"/>
      <x:c r="L8" s="5"/>
    </x:row>
    <x:row r="9" ht="52" customHeight="1">
      <x:c r="A9" s="7"/>
      <x:c r="B9" s="9" t="str">
        <x:v>3. Mục tiêu</x:v>
      </x:c>
      <x:c r="C9" s="10" t="str">
        <x:v>Ưu tiên Acquisition, Activation và Product Learning; xây công thức GTM có thể lặp lại theo ICP × Pain × Message × Channel × CTA. Paid là tín hiệu thương mại quan trọng nhưng chưa phải KPI chính.</x:v>
      </x:c>
      <x:c r="D9" s="4"/>
      <x:c r="F9" s="5"/>
      <x:c r="G9" s="5"/>
      <x:c r="H9" s="5"/>
      <x:c r="I9" s="5"/>
      <x:c r="J9" s="5"/>
      <x:c r="K9" s="5"/>
      <x:c r="L9" s="5"/>
    </x:row>
    <x:row r="10" ht="42" customHeight="1">
      <x:c r="A10" s="7"/>
      <x:c r="B10" s="9"/>
      <x:c r="C10" s="11" t="str">
        <x:v>Baseline 10/10/2026: 45 signup, 31 activated (68,9%), 7 user có tín hiệu D7. Tuần 05–11/10: 7 signup, 4 activated (57,1%).</x:v>
      </x:c>
      <x:c r="D10" s="4"/>
      <x:c r="F10" s="5"/>
      <x:c r="G10" s="5"/>
      <x:c r="H10" s="5"/>
      <x:c r="I10" s="5"/>
      <x:c r="J10" s="5"/>
      <x:c r="K10" s="5"/>
      <x:c r="L10" s="5"/>
    </x:row>
    <x:row r="11" ht="64" customHeight="1">
      <x:c r="A11" s="7"/>
      <x:c r="B11" s="9"/>
      <x:c r="C11" s="10" t="str">
        <x:v>Execution baseline: 20 nội dung — 5 đã đăng, 4 đang sản xuất, 11 đã lên kế hoạch. 85 lượt seeding — 27 đã đăng, 35 chờ duyệt, 12 bị xóa, 11 bị từ chối. Data gap: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t="44" hidden="1" customHeight="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68"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ht="110" customHeight="1">
      <x:c r="A15" s="7"/>
      <x:c r="B15" s="10" t="str">
        <x:v>Cụm vấn đề ưu tiên</x:v>
      </x:c>
      <x:c r="C15" s="10" t="str">
        <x:v>1. Tổ chức nhiều account và tách môi trường.
2. Vận hành số lượng lớn.
3. Phân quyền và bàn giao.
4. Rủi ro liên đới giữa account.
5. Thiết lập hàng loạt.
6. Chuyển dữ liệu/profile.
7. Độ ổn định và hiệu năng cần benchmark.</x:v>
      </x:c>
      <x:c r="D15" s="13" t="str">
        <x:v>Thị trường có cả đối thủ trực tiếp và substitute. GPM Login mạnh về local distribution và value; AdsPower mạnh về team/permission/RPA; GenLogin mạnh về automation/no-code; Hidemyacc mạnh về share/transfer/backup; GemLogin có ecosystem; GoLogin có cloud/cross-platform. Chrome Profiles và quy trình manual là trạng thái hiện tại của nhiều user P1.</x:v>
      </x:c>
      <x:c r="F15" s="5"/>
      <x:c r="G15" s="5"/>
      <x:c r="H15" s="5"/>
      <x:c r="I15" s="5"/>
      <x:c r="J15" s="5"/>
      <x:c r="K15" s="5"/>
      <x:c r="L15" s="5"/>
    </x:row>
    <x:row r="16" ht="46" customHeight="1">
      <x:c r="A16" s="7"/>
      <x:c r="B16" s="10"/>
      <x:c r="C16" s="10" t="str">
        <x:v>Cửa phù hợp nhất là manual/Chrome → structured multi-account. Không lấy power user đã bị lock-in sâu vào hệ sinh thái đối thủ làm beachhead.</x:v>
      </x:c>
      <x:c r="D16" s="13"/>
      <x:c r="F16" s="5"/>
      <x:c r="G16" s="5"/>
      <x:c r="H16" s="5"/>
      <x:c r="I16" s="5"/>
      <x:c r="J16" s="5"/>
      <x:c r="K16" s="5"/>
      <x:c r="L16" s="5"/>
    </x:row>
    <x:row r="17" ht="36" customHeight="1">
      <x:c r="A17" s="7"/>
      <x:c r="B17" s="9" t="str">
        <x:v>Key findings</x:v>
      </x:c>
      <x:c r="C17" s="10" t="str">
        <x:v>Core feature parity khá cao; khác biệt cạnh tranh còn nằm ở distribution, ecosystem và platform coverage.</x:v>
      </x:c>
      <x:c r="D17" s="13"/>
      <x:c r="F17" s="5"/>
      <x:c r="G17" s="5"/>
      <x:c r="H17" s="5"/>
      <x:c r="I17" s="5"/>
      <x:c r="J17" s="5"/>
      <x:c r="K17" s="5"/>
      <x:c r="L17" s="5"/>
    </x:row>
    <x:row r="18" ht="36" customHeight="1">
      <x:c r="A18" s="7"/>
      <x:c r="B18" s="9"/>
      <x:c r="C18" s="10" t="str">
        <x:v>Switching cost tăng mạnh khi team permission, automation và migration đã ăn sâu vào workflow.</x:v>
      </x:c>
      <x:c r="D18" s="13"/>
      <x:c r="F18" s="5"/>
      <x:c r="G18" s="5"/>
      <x:c r="H18" s="5"/>
      <x:c r="I18" s="5"/>
      <x:c r="J18" s="5"/>
      <x:c r="K18" s="5"/>
      <x:c r="L18" s="5"/>
    </x:row>
    <x:row r="19" ht="36" customHeight="1">
      <x:c r="A19" s="7"/>
      <x:c r="B19" s="9"/>
      <x:c r="C19" s="10" t="str">
        <x:v>Price/profile-volume là trận khó để dẫn đầu. Free 10 profile nên là cơ chế trial/activation.</x:v>
      </x:c>
      <x:c r="D19" s="13"/>
      <x:c r="F19" s="5"/>
      <x:c r="G19" s="5"/>
      <x:c r="H19" s="5"/>
      <x:c r="I19" s="5"/>
      <x:c r="J19" s="5"/>
      <x:c r="K19" s="5"/>
      <x:c r="L19" s="5"/>
    </x:row>
    <x:row r="20" ht="42" customHeight="1">
      <x:c r="A20" s="7"/>
      <x:c r="B20" s="9"/>
      <x:c r="C20" s="10" t="str">
        <x:v>Không claim nhẹ hơn, ổn định hơn, dễ dùng hơn, fingerprint tốt hơn hoặc automation mạnh hơn khi chưa có benchmark.</x:v>
      </x:c>
      <x:c r="D20" s="13"/>
      <x:c r="F20" s="5"/>
      <x:c r="G20" s="5"/>
      <x:c r="H20" s="5"/>
      <x:c r="I20" s="5"/>
      <x:c r="J20" s="5"/>
      <x:c r="K20" s="5"/>
      <x:c r="L20" s="5"/>
    </x:row>
    <x:row r="21" ht="36" hidden="1" customHeight="1">
      <x:c r="A21" s="7"/>
      <x:c r="B21" s="9"/>
      <x:c r="C21" s="10" t="str">
        <x:v>Tiếng Việt và local support có khả năng là hygiene factor; cần audit trước khi dùng làm USP.</x:v>
      </x:c>
      <x:c r="D21" s="13"/>
      <x:c r="F21" s="5"/>
      <x:c r="G21" s="5"/>
      <x:c r="H21" s="5"/>
      <x:c r="I21" s="5"/>
      <x:c r="J21" s="5"/>
      <x:c r="K21" s="5"/>
      <x:c r="L21" s="5"/>
    </x:row>
    <x:row r="22" ht="36" customHeight="1">
      <x:c r="A22" s="7"/>
      <x:c r="B22" s="9"/>
      <x:c r="C22" s="10" t="str">
        <x:v>Pain trước feature. Càng gần conversion càng cần proof cụ thể hơn.</x:v>
      </x:c>
      <x:c r="D22" s="13"/>
      <x:c r="F22" s="5"/>
      <x:c r="G22" s="5"/>
      <x:c r="H22" s="5"/>
      <x:c r="I22" s="5"/>
      <x:c r="J22" s="5"/>
      <x:c r="K22" s="5"/>
      <x:c r="L22" s="5"/>
    </x:row>
    <x:row r="23" ht="36" customHeight="1">
      <x:c r="A23" s="7"/>
      <x:c r="B23" s="9"/>
      <x:c r="C23" s="10" t="str">
        <x:v>North Star v0.1: Weekly Activated Users — user trong tuần đã tạo profile đầu tiên và nhận được first value.</x:v>
      </x:c>
      <x:c r="D23" s="13"/>
      <x:c r="F23" s="5"/>
      <x:c r="G23" s="5"/>
      <x:c r="H23" s="5"/>
      <x:c r="I23" s="5"/>
      <x:c r="J23" s="5"/>
      <x:c r="K23" s="5"/>
      <x:c r="L23" s="5"/>
    </x:row>
    <x:row r="24" ht="40" customHeight="1">
      <x:c r="A24" s="7"/>
      <x:c r="B24" s="14"/>
      <x:c r="C24" s="15" t="str">
        <x:v>Quyết định chiến lược: thắng nhóm có pain thật nhưng switching cost thấp trước, sau đó mới mở rộng sang nhóm mature.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GTM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ht="52" customHeight="1">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42" customHeight="1">
      <x:c r="A30" s="7"/>
      <x:c r="B30" s="17" t="str">
        <x:v>- Tháng 1 – tháng 2</x:v>
      </x:c>
      <x:c r="C30" s="9" t="str">
        <x:v>BUILD &amp; TEST: Hoàn thiện tracking, kiểm tra bốn nhóm P1, kéo user đúng nhóm và sửa blocker activation.</x:v>
      </x:c>
      <x:c r="D30" s="4"/>
      <x:c r="F30" s="5"/>
      <x:c r="G30" s="5"/>
      <x:c r="H30" s="5"/>
      <x:c r="I30" s="5"/>
      <x:c r="J30" s="5"/>
      <x:c r="K30" s="5"/>
      <x:c r="L30" s="5"/>
    </x:row>
    <x:row r="31" ht="42" customHeight="1">
      <x:c r="A31" s="7"/>
      <x:c r="B31" s="9" t="str">
        <x:v>- Tháng 3 – tháng 4</x:v>
      </x:c>
      <x:c r="C31" s="9" t="str">
        <x:v>FOCUS &amp; IMPROVE: Giữ 2–3 hướng mạnh, tối ưu message, onboarding và product theo use case.</x:v>
      </x:c>
      <x:c r="D31" s="4"/>
      <x:c r="F31" s="5"/>
      <x:c r="G31" s="5"/>
      <x:c r="H31" s="5"/>
      <x:c r="I31" s="5"/>
      <x:c r="J31" s="5"/>
      <x:c r="K31" s="5"/>
      <x:c r="L31" s="5"/>
    </x:row>
    <x:row r="32" ht="42" customHeight="1">
      <x:c r="A32" s="7"/>
      <x:c r="B32" s="17" t="str">
        <x:v>- Tháng 5 – tháng 6</x:v>
      </x:c>
      <x:c r="C32" s="9" t="str">
        <x:v>SCALE WHAT WORKS: Tăng nguồn lực cho kênh/message đã chứng minh hiệu quả, tạo case study và test trigger nâng cấp.</x:v>
      </x:c>
      <x:c r="D32" s="4"/>
      <x:c r="F32" s="5"/>
      <x:c r="G32" s="5"/>
      <x:c r="H32" s="5"/>
      <x:c r="I32" s="5"/>
      <x:c r="J32" s="5"/>
      <x:c r="K32" s="5"/>
      <x:c r="L32" s="5"/>
    </x:row>
    <x:row r="33" ht="42" customHeight="1">
      <x:c r="A33" s="7"/>
      <x:c r="B33" s="9" t="str">
        <x:v>- Tháng 7 – tháng 12</x:v>
      </x:c>
      <x:c r="C33" s="9" t="str">
        <x:v>Mở rộng ICP/kênh có kiểm soát, tiếp tục benchmark sản phẩm và xây cơ chế giữ chân/nâng cấp.</x:v>
      </x:c>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ht="76" customHeight="1">
      <x:c r="A35" s="7"/>
      <x:c r="B35" s="9" t="str">
        <x:v>Phân khúc 1</x:v>
      </x:c>
      <x:c r="C35" s="10" t="str">
        <x:v>Team Ads nhỏ-vừa
Pain: nhiều account, nhiều người, share thủ công.
Lời hứa: kiểm soát account và quyền truy cập gọn hơn.
Proof: Team, permission, isolation, Sync.
CTA: thử 3–5 account.</x:v>
      </x:c>
      <x:c r="D35" s="4"/>
      <x:c r="F35" s="5"/>
      <x:c r="G35" s="5"/>
      <x:c r="H35" s="5"/>
      <x:c r="I35" s="5"/>
      <x:c r="J35" s="5"/>
      <x:c r="K35" s="5"/>
      <x:c r="L35" s="5"/>
    </x:row>
    <x:row r="36" ht="76" customHeight="1">
      <x:c r="A36" s="7"/>
      <x:c r="B36" s="9" t="str">
        <x:v>Phân khúc 2</x:v>
      </x:c>
      <x:c r="C36" s="10" t="str">
        <x:v>Seller nhiều shop/account
Pain: dễ lẫn môi trường/session và khó tổ chức.
Lời hứa: mỗi shop/account một môi trường rõ ràng.
Proof: isolation, group, session, team.
CTA: đưa 3 shop vào test.</x:v>
      </x:c>
      <x:c r="D36" s="4"/>
      <x:c r="F36" s="5"/>
      <x:c r="G36" s="5"/>
      <x:c r="H36" s="5"/>
      <x:c r="I36" s="5"/>
      <x:c r="J36" s="5"/>
      <x:c r="K36" s="5"/>
      <x:c r="L36" s="5"/>
    </x:row>
    <x:row r="37" ht="76" customHeight="1">
      <x:c r="A37" s="7"/>
      <x:c r="B37" s="9" t="str">
        <x:v>Phân khúc 3</x:v>
      </x:c>
      <x:c r="C37" s="10" t="str">
        <x:v>Seeding / Social Ops
Pain: volume lớn và thao tác lặp.
Lời hứa: scale dàn account mà không tăng thao tác tay tương ứng.
Proof: Bulk, Sync, Workflow.
CTA: test một batch nhỏ.</x:v>
      </x:c>
      <x:c r="D37" s="4"/>
      <x:c r="F37" s="5"/>
      <x:c r="G37" s="5"/>
      <x:c r="H37" s="5"/>
      <x:c r="I37" s="5"/>
      <x:c r="J37" s="5"/>
      <x:c r="K37" s="5"/>
      <x:c r="L37" s="5"/>
    </x:row>
    <x:row r="38" ht="76" customHeight="1">
      <x:c r="A38" s="7"/>
      <x:c r="B38" s="9" t="str">
        <x:v>Phân khúc 4</x:v>
      </x:c>
      <x:c r="C38" s="10" t="str">
        <x:v>Affiliate đang scale
Pain: từ vài account lên nhiều campaign/account.
Lời hứa: chuyển từ manual sang workflow multi-account có hệ thống.
Proof: Group, Bulk, Automation.
CTA: test batch đầu tiên.</x:v>
      </x:c>
      <x:c r="D38" s="4"/>
      <x:c r="F38" s="5"/>
      <x:c r="G38" s="5"/>
      <x:c r="H38" s="5"/>
      <x:c r="I38" s="5"/>
      <x:c r="J38" s="5"/>
      <x:c r="K38" s="5"/>
      <x:c r="L38" s="5"/>
    </x:row>
    <x:row r="39" ht="48" customHeight="1">
      <x:c r="A39" s="7"/>
      <x:c r="B39" s="9" t="str">
        <x:v>Nhóm sau</x:v>
      </x:c>
      <x:c r="C39" s="10" t="str">
        <x:v>YouTube/content network, Freelancer/Solo, MMO advanced, Agency lớn và Enterprise tiếp tục theo dõi. Chưa phân bổ nguồn lực ngang bốn nhóm P1.</x:v>
      </x:c>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ht="48" customHeight="1">
      <x:c r="A41" s="7"/>
      <x:c r="B41" s="10" t="str">
        <x:v>Nhóm 1: First Value</x:v>
      </x:c>
      <x:c r="C41" s="10" t="str">
        <x:v>Tạo và mở profile đầu tiên. Đây là mốc activation dùng chung. Mục tiêu: giúp user đi từ signup đến first value nhanh, rõ và đo được.</x:v>
      </x:c>
      <x:c r="D41" s="4"/>
      <x:c r="F41" s="5"/>
      <x:c r="G41" s="5"/>
      <x:c r="H41" s="5"/>
      <x:c r="I41" s="5"/>
      <x:c r="J41" s="5"/>
      <x:c r="K41" s="5"/>
      <x:c r="L41" s="5"/>
    </x:row>
    <x:row r="42" ht="48" customHeight="1">
      <x:c r="A42" s="7"/>
      <x:c r="B42" s="10" t="str">
        <x:v>Nhóm 2: Organization</x:v>
      </x:c>
      <x:c r="C42" s="9" t="str">
        <x:v>Group, đặt tên, tách môi trường, quản lý session và cấu trúc profile theo shop/campaign/team. Mục tiêu: giải pain rối khi số account tăng.</x:v>
      </x:c>
      <x:c r="D42" s="4"/>
      <x:c r="F42" s="5"/>
      <x:c r="G42" s="5"/>
      <x:c r="H42" s="5"/>
      <x:c r="I42" s="5"/>
      <x:c r="J42" s="5"/>
      <x:c r="K42" s="5"/>
      <x:c r="L42" s="5"/>
    </x:row>
    <x:row r="43" ht="48" customHeight="1">
      <x:c r="A43" s="7"/>
      <x:c r="B43" s="10" t="str">
        <x:v>Nhóm 3: Team Operations</x:v>
      </x:c>
      <x:c r="C43" s="9" t="str">
        <x:v>Permission, sharing và handoff. Mục tiêu: kiểm soát quyền, bàn giao và thu hồi quyền khi nhiều người cùng vận hành.</x:v>
      </x:c>
      <x:c r="D43" s="4"/>
      <x:c r="F43" s="5"/>
      <x:c r="G43" s="5"/>
      <x:c r="H43" s="5"/>
      <x:c r="I43" s="5"/>
      <x:c r="J43" s="5"/>
      <x:c r="K43" s="5"/>
      <x:c r="L43" s="5"/>
    </x:row>
    <x:row r="44" ht="54" customHeight="1">
      <x:c r="A44" s="7"/>
      <x:c r="B44" s="10" t="str">
        <x:v>Nhóm 4: Scale</x:v>
      </x:c>
      <x:c r="C44" s="10" t="str">
        <x:v>Bulk, Sync và Workflow. Mục tiêu: tăng số account mà không tăng tương ứng số thao tác tay. Automation không được dùng riêng làm USP khi chưa benchmark độ sâu.</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ht="112" customHeight="1">
      <x:c r="A46" s="7"/>
      <x:c r="B46" s="9" t="str">
        <x:v>Phase 1</x:v>
      </x:c>
      <x:c r="C46" s="10" t="str">
        <x:v>Digital acquisition và product-led trial:
1. TikTok/Facebook: tạo nhu cầu bằng pain và workflow.
2. Community/Group: chạm đúng operator và tạo hội thoại.
3. SEO/Google: đón nhu cầu category, review, comparison.
4. Cold email/direct outreach: tiếp cận đúng ICP với CTA thử batch nhỏ.
5. Website/pricing/use-case page: chuyển quan tâm thành signup.
6. In-app/email/tutorial/docs: kích hoạt và giữ user.</x:v>
      </x:c>
      <x:c r="D46" s="4"/>
      <x:c r="F46" s="5"/>
      <x:c r="G46" s="5"/>
      <x:c r="H46" s="5"/>
      <x:c r="I46" s="5"/>
      <x:c r="J46" s="5"/>
      <x:c r="K46" s="5"/>
      <x:c r="L46" s="5"/>
    </x:row>
    <x:row r="47" ht="68" customHeight="1">
      <x:c r="A47" s="7"/>
      <x:c r="B47" s="14" t="str">
        <x:v>Phase 2</x:v>
      </x:c>
      <x:c r="C47" s="18" t="str">
        <x:v>Mở rộng sau khi đã có tín hiệu: retarget, case study, partner/referral, migration campaign và account-based outreach cho team/agency phù hợp. Chỉ tăng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ht="48" customHeight="1">
      <x:c r="A49" s="7"/>
      <x:c r="B49" s="9" t="str">
        <x:v>Chủ đề 1: Problem</x:v>
      </x:c>
      <x:c r="C49" s="9" t="str">
        <x:v>Lẫn session; không biết account nằm ở đâu; khó bàn giao; quá nhiều thao tác; rủi ro dùng chung môi trường; Chrome profiles bắt đầu vỡ khi scale.</x:v>
      </x:c>
      <x:c r="D49" s="4"/>
      <x:c r="F49" s="5"/>
      <x:c r="G49" s="5"/>
      <x:c r="H49" s="5"/>
      <x:c r="I49" s="5"/>
      <x:c r="J49" s="5"/>
      <x:c r="K49" s="5"/>
      <x:c r="L49" s="5"/>
    </x:row>
    <x:row r="50" ht="42" customHeight="1">
      <x:c r="A50" s="7"/>
      <x:c r="B50" s="9" t="str">
        <x:v>Chủ đề 2: Product</x:v>
      </x:c>
      <x:c r="C50" s="9" t="str">
        <x:v>Demo tạo profile, group, bulk, Sync Control, team permission và end-to-end workflow.</x:v>
      </x:c>
      <x:c r="D50" s="4"/>
      <x:c r="F50" s="5"/>
      <x:c r="G50" s="5"/>
      <x:c r="H50" s="5"/>
      <x:c r="I50" s="5"/>
      <x:c r="J50" s="5"/>
      <x:c r="K50" s="5"/>
      <x:c r="L50" s="5"/>
    </x:row>
    <x:row r="51" ht="48" customHeight="1">
      <x:c r="A51" s="7"/>
      <x:c r="B51" s="9" t="str">
        <x:v>Chủ đề 3: Proof</x:v>
      </x:c>
      <x:c r="C51" s="9" t="str">
        <x:v>Workflow before/after, demo thời gian thao tác, feedback user, case theo Team Ads/Seller/Seeding/Affiliate. Không dùng claim kỹ thuật chưa chứng minh.</x:v>
      </x:c>
      <x:c r="D51" s="4"/>
      <x:c r="F51" s="5"/>
      <x:c r="G51" s="5"/>
      <x:c r="H51" s="5"/>
      <x:c r="I51" s="5"/>
      <x:c r="J51" s="5"/>
      <x:c r="K51" s="5"/>
      <x:c r="L51" s="5"/>
    </x:row>
    <x:row r="52" ht="54" customHeight="1">
      <x:c r="A52" s="7"/>
      <x:c r="B52" s="9" t="str">
        <x:v>Chủ đề 4: Education</x:v>
      </x:c>
      <x:c r="C52" s="9" t="str">
        <x:v>Khi nào Chrome Profile còn đủ; khi nào cần multi-account; cách tổ chức theo shop/campaign/team; checklist bàn giao và phân quyền.</x:v>
      </x:c>
      <x:c r="D52" s="4"/>
      <x:c r="F52" s="5"/>
      <x:c r="G52" s="5"/>
      <x:c r="H52" s="5"/>
      <x:c r="I52" s="5"/>
      <x:c r="J52" s="5"/>
      <x:c r="K52" s="5"/>
      <x:c r="L52" s="5"/>
    </x:row>
    <x:row r="53" ht="48" customHeight="1">
      <x:c r="A53" s="7"/>
      <x:c r="B53" s="9" t="str">
        <x:v>Chủ đề 5: Retention</x:v>
      </x:c>
      <x:c r="C53" s="9" t="str">
        <x:v>Quick start, tutorial tạo profile đầu tiên, follow-up D7, hướng dẫn dùng sâu hơn theo use case và thông báo cải tiến từ feedback.</x:v>
      </x:c>
      <x:c r="D53" s="4"/>
      <x:c r="F53" s="5"/>
      <x:c r="G53" s="5"/>
      <x:c r="H53" s="5"/>
      <x:c r="I53" s="5"/>
      <x:c r="J53" s="5"/>
      <x:c r="K53" s="5"/>
      <x:c r="L53" s="5"/>
    </x:row>
    <x:row r="54">
      <x:c r="A54" s="7"/>
      <x:c r="B54" s="8" t="str">
        <x:v>VIII. CHIẾN LƯỢC COMMUNITY / OUTBOUND</x:v>
      </x:c>
      <x:c r="C54" s="12"/>
      <x:c r="D54" s="4"/>
      <x:c r="F54" s="5"/>
      <x:c r="G54" s="5"/>
      <x:c r="H54" s="5"/>
      <x:c r="I54" s="5"/>
      <x:c r="J54" s="5"/>
      <x:c r="K54" s="5"/>
      <x:c r="L54" s="5"/>
    </x:row>
    <x:row r="55" ht="62" customHeight="1">
      <x:c r="A55" s="7"/>
      <x:c r="B55" s="9" t="str">
        <x:v>Community seeding</x:v>
      </x:c>
      <x:c r="C55" s="9" t="str">
        <x:v>Xây kho nguồn theo Facebook Ads, TikTok Ads, Seller, Affiliate, MMO và Social Ops. Mỗi lượt dùng nguồn ID và ghi góc tiếp cận, trạng thái, reply, hội thoại tốt, inbox/click, signup biết nguồn.</x:v>
      </x:c>
      <x:c r="D55" s="4"/>
      <x:c r="F55" s="5"/>
      <x:c r="G55" s="5"/>
      <x:c r="H55" s="5"/>
      <x:c r="I55" s="5"/>
      <x:c r="J55" s="5"/>
      <x:c r="K55" s="5"/>
      <x:c r="L55" s="5"/>
    </x:row>
    <x:row r="56" ht="46" customHeight="1">
      <x:c r="A56" s="7"/>
      <x:c r="B56" s="9" t="str">
        <x:v>Góc tiếp cận</x:v>
      </x:c>
      <x:c r="C56" s="9" t="str">
        <x:v>Ưu tiên nêu vấn đề và chia sẻ cách làm trước khi giới thiệu sản phẩm. So sánh hiệu quả theo mảng/ngành, nguồn và người seeding.</x:v>
      </x:c>
      <x:c r="D56" s="4"/>
      <x:c r="F56" s="5"/>
      <x:c r="G56" s="5"/>
      <x:c r="H56" s="5"/>
      <x:c r="I56" s="5"/>
      <x:c r="J56" s="5"/>
      <x:c r="K56" s="5"/>
      <x:c r="L56" s="5"/>
    </x:row>
    <x:row r="57" ht="48" customHeight="1">
      <x:c r="A57" s="7"/>
      <x:c r="B57" s="9" t="str">
        <x:v>Direct outreach</x:v>
      </x:c>
      <x:c r="C57" s="9" t="str">
        <x:v>Lập danh sách operator/team có pain rõ, cá nhân hóa theo số account và cách bàn giao hiện tại, mời thử 3–5 account hoặc một batch nhỏ.</x:v>
      </x:c>
      <x:c r="D57" s="4"/>
      <x:c r="F57" s="5"/>
      <x:c r="G57" s="5"/>
      <x:c r="H57" s="5"/>
      <x:c r="I57" s="5"/>
      <x:c r="J57" s="5"/>
      <x:c r="K57" s="5"/>
      <x:c r="L57" s="5"/>
    </x:row>
    <x:row r="58" ht="44" customHeight="1">
      <x:c r="A58" s="7"/>
      <x:c r="B58" s="20" t="str">
        <x:v>Nguyên tắc
Quy mô hoạt động phụ thuộc chất lượng nguồn và năng lực follow-up. Không xem số lượt đăng là kết quả nếu không có hội thoại, activation hoặc learning.</x:v>
      </x:c>
      <x:c r="C58" s="20"/>
      <x:c r="D58" s="4"/>
      <x:c r="F58" s="5"/>
      <x:c r="G58" s="5"/>
      <x:c r="H58" s="5"/>
      <x:c r="I58" s="5"/>
      <x:c r="J58" s="5"/>
      <x:c r="K58" s="5"/>
      <x:c r="L58" s="5"/>
    </x:row>
    <x:row r="59">
      <x:c r="A59" s="7"/>
      <x:c r="B59" s="21" t="str">
        <x:v>IX. CHIẾN LƯỢC SALES</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ht="70" customHeight="1">
      <x:c r="A61" s="4"/>
      <x:c r="B61" s="28" t="str">
        <x:v>Tháng 1</x:v>
      </x:c>
      <x:c r="C61" s="29" t="str">
        <x:v>Chuẩn hóa tracking; hoàn thiện bốn ICP/Pain test; xuất bản 3 nội dung; lập kho nguồn; hỏi 5 user; theo dõi tạo profile đầu tiên.</x:v>
      </x:c>
      <x:c r="D61" s="30" t="str">
        <x:v>Tạo baseline và dữ liệu đầu tiên</x:v>
      </x:c>
      <x:c r="E61" s="29" t="str">
        <x:v>Baseline acquisition/activation; danh sách pain và blocker; nguồn có tín hiệu.</x:v>
      </x:c>
      <x:c r="F61" s="31"/>
      <x:c r="G61" s="32"/>
      <x:c r="H61" s="32"/>
      <x:c r="I61" s="32"/>
      <x:c r="J61" s="32"/>
      <x:c r="K61" s="31"/>
      <x:c r="L61" s="31"/>
      <x:c r="M61" s="4"/>
      <x:c r="N61" s="4"/>
      <x:c r="O61" s="4"/>
      <x:c r="P61" s="4"/>
      <x:c r="Q61" s="4"/>
      <x:c r="R61" s="4"/>
      <x:c r="S61" s="4"/>
      <x:c r="T61" s="4"/>
      <x:c r="U61" s="4"/>
      <x:c r="V61" s="4"/>
    </x:row>
    <x:row r="62" ht="76" customHeight="1">
      <x:c r="A62" s="4"/>
      <x:c r="B62" s="28" t="str">
        <x:v>Tháng 2</x:v>
      </x:c>
      <x:c r="C62" s="33" t="str">
        <x:v>Test đủ bốn P1; luân phiên content/community; follow-up user đã signup; so sánh pain/proof; hoàn thiện tutorial first profile.</x:v>
      </x:c>
      <x:c r="D62" s="33" t="str">
        <x:v>Xác định nhóm phản ứng tốt</x:v>
      </x:c>
      <x:c r="E62" s="34" t="str">
        <x:v>1–2 ICP nổi bật; benchmark activation; pain lặp và message có tín hiệu.</x:v>
      </x:c>
      <x:c r="F62" s="35"/>
      <x:c r="G62" s="35"/>
      <x:c r="H62" s="35"/>
      <x:c r="I62" s="35"/>
      <x:c r="J62" s="35"/>
      <x:c r="K62" s="35"/>
      <x:c r="L62" s="35"/>
      <x:c r="M62" s="4"/>
      <x:c r="N62" s="4"/>
      <x:c r="O62" s="4"/>
      <x:c r="P62" s="4"/>
      <x:c r="Q62" s="4"/>
      <x:c r="R62" s="4"/>
      <x:c r="S62" s="4"/>
      <x:c r="T62" s="4"/>
      <x:c r="U62" s="4"/>
      <x:c r="V62" s="4"/>
    </x:row>
    <x:row r="63" ht="76" customHeight="1">
      <x:c r="A63" s="4"/>
      <x:c r="B63" s="28" t="str">
        <x:v>Tháng 3</x:v>
      </x:c>
      <x:c r="C63" s="33" t="str">
        <x:v>Đào sâu organization, handoff, permission, batch và Sync; chạy 5–10 trao đổi thật; so sánh content có demo với content chỉ nói pain.</x:v>
      </x:c>
      <x:c r="D63" s="29" t="str">
        <x:v>Tìm công thức GTM có thể lặp</x:v>
      </x:c>
      <x:c r="E63" s="34" t="str">
        <x:v>Ma trận ICP × Pain × Message × Channel × CTA với KEEP/SCALE/IMPROVE/PAUSE.</x:v>
      </x:c>
      <x:c r="F63" s="35"/>
      <x:c r="G63" s="35"/>
      <x:c r="H63" s="35"/>
      <x:c r="I63" s="35"/>
      <x:c r="J63" s="35"/>
      <x:c r="K63" s="35"/>
      <x:c r="L63" s="35"/>
      <x:c r="M63" s="4"/>
      <x:c r="N63" s="4"/>
      <x:c r="O63" s="4"/>
      <x:c r="P63" s="4"/>
      <x:c r="Q63" s="4"/>
      <x:c r="R63" s="4"/>
      <x:c r="S63" s="4"/>
      <x:c r="T63" s="4"/>
      <x:c r="U63" s="4"/>
      <x:c r="V63" s="4"/>
    </x:row>
    <x:row r="64" ht="70" customHeight="1">
      <x:c r="A64" s="7"/>
      <x:c r="B64" s="36" t="str">
        <x:v>Tháng 4</x:v>
      </x:c>
      <x:c r="C64" s="9" t="str">
        <x:v>Tập trung hướng thắng; sửa onboarding và blocker; tạo case demo; xây landing/use-case page; retarget user có tín hiệu.</x:v>
      </x:c>
      <x:c r="D64" s="34" t="str">
        <x:v>Tăng activation và D7</x:v>
      </x:c>
      <x:c r="E64" s="10" t="str">
        <x:v>Onboarding use case, case study đầu tiên và backlog product theo pain lặp.</x:v>
      </x:c>
      <x:c r="F64" s="5"/>
      <x:c r="G64" s="5"/>
      <x:c r="H64" s="5"/>
      <x:c r="I64" s="5"/>
      <x:c r="J64" s="5"/>
      <x:c r="K64" s="5"/>
      <x:c r="L64" s="5"/>
    </x:row>
    <x:row r="65" ht="62" customHeight="1">
      <x:c r="A65" s="7"/>
      <x:c r="B65" s="36" t="str">
        <x:v>Tháng 5</x:v>
      </x:c>
      <x:c r="C65" s="9" t="str">
        <x:v>Scale content/community/outbound tốt; thử trigger nâng cấp; tăng proof và follow-up commercial signal.</x:v>
      </x:c>
      <x:c r="D65" s="34" t="str">
        <x:v>Tăng quy mô hướng đã chứng minh</x:v>
      </x:c>
      <x:c r="E65" s="37" t="str">
        <x:v>Kênh/message chủ lực và trigger paid rõ hơn.</x:v>
      </x:c>
      <x:c r="F65" s="5"/>
      <x:c r="G65" s="5"/>
      <x:c r="H65" s="5"/>
      <x:c r="I65" s="5"/>
      <x:c r="J65" s="5"/>
      <x:c r="K65" s="5"/>
      <x:c r="L65" s="5"/>
    </x:row>
    <x:row r="66" ht="58" customHeight="1">
      <x:c r="A66" s="7"/>
      <x:c r="B66" s="36" t="str">
        <x:v>Tháng 6</x:v>
      </x:c>
      <x:c r="C66" s="9" t="str">
        <x:v>Review nửa năm; chốt Primary ICP v1; cập nhật roadmap, pricing test và kế hoạch 6 tháng tiếp theo.</x:v>
      </x:c>
      <x:c r="D66" s="34" t="str">
        <x:v>Chốt hướng tăng trưởng</x:v>
      </x:c>
      <x:c r="E66" s="37" t="str">
        <x:v>Primary ICP v1, funnel benchmark và kế hoạch scale.</x:v>
      </x:c>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t="n">
        <x:v>0</x:v>
      </x:c>
      <x:c r="G70" s="12" t="n">
        <x:v>0</x:v>
      </x:c>
      <x:c r="H70" s="12" t="n">
        <x:v>0</x:v>
      </x:c>
      <x:c r="I70" s="5"/>
      <x:c r="J70" s="5"/>
      <x:c r="K70" s="5"/>
      <x:c r="L70" s="5"/>
    </x:row>
    <x:row r="71">
      <x:c r="A71" s="7"/>
      <x:c r="B71" s="9" t="str">
        <x:v>Kiểm tra 4 ICP P1</x:v>
      </x:c>
      <x:c r="C71" s="12" t="n">
        <x:v>1</x:v>
      </x:c>
      <x:c r="D71" s="12" t="n">
        <x:v>1</x:v>
      </x:c>
      <x:c r="E71" s="12" t="n">
        <x:v>1</x:v>
      </x:c>
      <x:c r="F71" s="12" t="n">
        <x:v>1</x:v>
      </x:c>
      <x:c r="G71" s="12" t="n">
        <x:v>0</x:v>
      </x:c>
      <x:c r="H71" s="12" t="n">
        <x:v>0</x:v>
      </x:c>
      <x:c r="I71" s="5"/>
      <x:c r="J71" s="5"/>
      <x:c r="K71" s="5"/>
      <x:c r="L71" s="5"/>
    </x:row>
    <x:row r="72">
      <x:c r="A72" s="7"/>
      <x:c r="B72" s="9" t="str">
        <x:v>Content pain/education</x:v>
      </x:c>
      <x:c r="C72" s="12" t="n">
        <x:v>1</x:v>
      </x:c>
      <x:c r="D72" s="12" t="n">
        <x:v>1</x:v>
      </x:c>
      <x:c r="E72" s="12" t="n">
        <x:v>1</x:v>
      </x:c>
      <x:c r="F72" s="12" t="n">
        <x:v>1</x:v>
      </x:c>
      <x:c r="G72" s="12" t="n">
        <x:v>1</x:v>
      </x:c>
      <x:c r="H72" s="12" t="n">
        <x:v>1</x:v>
      </x:c>
      <x:c r="I72" s="5"/>
      <x:c r="J72" s="5"/>
      <x:c r="K72" s="5"/>
      <x:c r="L72" s="5"/>
    </x:row>
    <x:row r="73">
      <x:c r="A73" s="7"/>
      <x:c r="B73" s="9" t="str">
        <x:v>Demo và product proof</x:v>
      </x:c>
      <x:c r="C73" s="12" t="n">
        <x:v>1</x:v>
      </x:c>
      <x:c r="D73" s="12" t="n">
        <x:v>1</x:v>
      </x:c>
      <x:c r="E73" s="12" t="n">
        <x:v>1</x:v>
      </x:c>
      <x:c r="F73" s="12" t="n">
        <x:v>1</x:v>
      </x:c>
      <x:c r="G73" s="12" t="n">
        <x:v>1</x:v>
      </x:c>
      <x:c r="H73" s="12" t="n">
        <x:v>1</x:v>
      </x:c>
      <x:c r="I73" s="5"/>
      <x:c r="J73" s="5"/>
      <x:c r="K73" s="5"/>
      <x:c r="L73" s="5"/>
    </x:row>
    <x:row r="74">
      <x:c r="A74" s="7"/>
      <x:c r="B74" s="9" t="str">
        <x:v>Community seeding</x:v>
      </x:c>
      <x:c r="C74" s="12" t="n">
        <x:v>1</x:v>
      </x:c>
      <x:c r="D74" s="12" t="n">
        <x:v>1</x:v>
      </x:c>
      <x:c r="E74" s="12" t="n">
        <x:v>1</x:v>
      </x:c>
      <x:c r="F74" s="12" t="n">
        <x:v>1</x:v>
      </x:c>
      <x:c r="G74" s="12" t="n">
        <x:v>1</x:v>
      </x:c>
      <x:c r="H74" s="12" t="n">
        <x:v>1</x:v>
      </x:c>
      <x:c r="I74" s="5"/>
      <x:c r="J74" s="5"/>
      <x:c r="K74" s="5"/>
      <x:c r="L74" s="5"/>
    </x:row>
    <x:row r="75">
      <x:c r="A75" s="7"/>
      <x:c r="B75" s="9" t="str">
        <x:v>Cold outreach</x:v>
      </x:c>
      <x:c r="C75" s="12" t="n">
        <x:v>1</x:v>
      </x:c>
      <x:c r="D75" s="12" t="n">
        <x:v>1</x:v>
      </x:c>
      <x:c r="E75" s="12" t="n">
        <x:v>1</x:v>
      </x:c>
      <x:c r="F75" s="12" t="n">
        <x:v>1</x:v>
      </x:c>
      <x:c r="G75" s="12" t="n">
        <x:v>1</x:v>
      </x:c>
      <x:c r="H75" s="12" t="n">
        <x:v>1</x:v>
      </x:c>
      <x:c r="I75" s="5"/>
      <x:c r="J75" s="5"/>
      <x:c r="K75" s="5"/>
      <x:c r="L75" s="5"/>
    </x:row>
    <x:row r="76">
      <x:c r="A76" s="7"/>
      <x:c r="B76" s="9" t="str">
        <x:v>Onboarding theo use case</x:v>
      </x:c>
      <x:c r="C76" s="12" t="n">
        <x:v>1</x:v>
      </x:c>
      <x:c r="D76" s="12" t="n">
        <x:v>1</x:v>
      </x:c>
      <x:c r="E76" s="12" t="n">
        <x:v>1</x:v>
      </x:c>
      <x:c r="F76" s="12" t="n">
        <x:v>1</x:v>
      </x:c>
      <x:c r="G76" s="12" t="n">
        <x:v>1</x:v>
      </x:c>
      <x:c r="H76" s="12" t="n">
        <x:v>1</x:v>
      </x:c>
      <x:c r="I76" s="5"/>
      <x:c r="J76" s="5"/>
      <x:c r="K76" s="5"/>
      <x:c r="L76" s="5"/>
    </x:row>
    <x:row r="77">
      <x:c r="A77" s="7"/>
      <x:c r="B77" s="9" t="str">
        <x:v>Customer interview &amp; feedback</x:v>
      </x:c>
      <x:c r="C77" s="12" t="n">
        <x:v>1</x:v>
      </x:c>
      <x:c r="D77" s="12" t="n">
        <x:v>1</x:v>
      </x:c>
      <x:c r="E77" s="12" t="n">
        <x:v>1</x:v>
      </x:c>
      <x:c r="F77" s="12" t="n">
        <x:v>1</x:v>
      </x:c>
      <x:c r="G77" s="12" t="n">
        <x:v>1</x:v>
      </x:c>
      <x:c r="H77" s="12" t="n">
        <x:v>1</x:v>
      </x:c>
      <x:c r="I77" s="5"/>
      <x:c r="J77" s="5"/>
      <x:c r="K77" s="5"/>
      <x:c r="L77" s="5"/>
    </x:row>
    <x:row r="78">
      <x:c r="A78" s="7"/>
      <x:c r="B78" s="9" t="str">
        <x:v>Benchmark đối thủ/claim</x:v>
      </x:c>
      <x:c r="C78" s="12" t="n">
        <x:v>1</x:v>
      </x:c>
      <x:c r="D78" s="12" t="n">
        <x:v>1</x:v>
      </x:c>
      <x:c r="E78" s="12" t="n">
        <x:v>1</x:v>
      </x:c>
      <x:c r="F78" s="12" t="n">
        <x:v>1</x:v>
      </x:c>
      <x:c r="G78" s="12" t="n">
        <x:v>0</x:v>
      </x:c>
      <x:c r="H78" s="12" t="n">
        <x:v>0</x:v>
      </x:c>
      <x:c r="I78" s="5"/>
      <x:c r="J78" s="5"/>
      <x:c r="K78" s="5"/>
      <x:c r="L78" s="5"/>
    </x:row>
    <x:row r="79">
      <x:c r="A79" s="7"/>
      <x:c r="B79" s="9" t="str">
        <x:v>Case study &amp; retarget</x:v>
      </x:c>
      <x:c r="C79" s="12" t="n">
        <x:v>0</x:v>
      </x:c>
      <x:c r="D79" s="12" t="n">
        <x:v>0</x:v>
      </x:c>
      <x:c r="E79" s="12" t="n">
        <x:v>1</x:v>
      </x:c>
      <x:c r="F79" s="12" t="n">
        <x:v>1</x:v>
      </x:c>
      <x:c r="G79" s="12" t="n">
        <x:v>1</x:v>
      </x:c>
      <x:c r="H79" s="12" t="n">
        <x:v>1</x:v>
      </x:c>
      <x:c r="I79" s="5"/>
      <x:c r="J79" s="5"/>
      <x:c r="K79" s="5"/>
      <x:c r="L79" s="5"/>
    </x:row>
    <x:row r="80">
      <x:c r="A80" s="7"/>
      <x:c r="B80" s="9" t="str">
        <x:v>Kiểm tra trigger nâng cấp</x:v>
      </x:c>
      <x:c r="C80" s="12" t="n">
        <x:v>0</x:v>
      </x:c>
      <x:c r="D80" s="12" t="n">
        <x:v>0</x:v>
      </x:c>
      <x:c r="E80" s="12" t="n">
        <x:v>1</x:v>
      </x:c>
      <x:c r="F80" s="12" t="n">
        <x:v>1</x:v>
      </x:c>
      <x:c r="G80" s="12" t="n">
        <x:v>1</x:v>
      </x:c>
      <x:c r="H80" s="12" t="n">
        <x:v>1</x:v>
      </x:c>
      <x:c r="I80" s="5"/>
      <x:c r="J80" s="5"/>
      <x:c r="K80" s="5"/>
      <x:c r="L80" s="5"/>
    </x:row>
    <x:row r="81">
      <x:c r="A81" s="7"/>
      <x:c r="B81" s="9" t="str">
        <x:v>Scale kênh/message hiệu quả</x:v>
      </x:c>
      <x:c r="C81" s="12" t="n">
        <x:v>0</x:v>
      </x:c>
      <x:c r="D81" s="12" t="n">
        <x:v>0</x:v>
      </x:c>
      <x:c r="E81" s="12" t="n">
        <x:v>0</x:v>
      </x:c>
      <x:c r="F81" s="12" t="n">
        <x:v>1</x:v>
      </x:c>
      <x:c r="G81" s="12" t="n">
        <x:v>1</x:v>
      </x:c>
      <x:c r="H81" s="12" t="n">
        <x:v>1</x:v>
      </x:c>
      <x:c r="I81" s="5"/>
      <x:c r="J81" s="5"/>
      <x:c r="K81" s="5"/>
      <x:c r="L81" s="5"/>
    </x:row>
    <x:row r="82">
      <x:c r="A82" s="7"/>
      <x:c r="B82" s="9" t="str">
        <x:v>Pricing test</x:v>
      </x:c>
      <x:c r="C82" s="12" t="n">
        <x:v>0</x:v>
      </x:c>
      <x:c r="D82" s="12" t="n">
        <x:v>0</x:v>
      </x:c>
      <x:c r="E82" s="12" t="n">
        <x:v>1</x:v>
      </x:c>
      <x:c r="F82" s="12" t="n">
        <x:v>1</x:v>
      </x:c>
      <x:c r="G82" s="12" t="n">
        <x:v>1</x:v>
      </x:c>
      <x:c r="H82" s="12" t="n">
        <x:v>1</x:v>
      </x:c>
      <x:c r="I82" s="5"/>
      <x:c r="J82" s="5"/>
      <x:c r="K82" s="5"/>
      <x:c r="L82" s="5"/>
    </x:row>
    <x:row r="83">
      <x:c r="A83" s="7"/>
      <x:c r="B83" s="9" t="str">
        <x:v>Review ICP và roadmap</x:v>
      </x:c>
      <x:c r="C83" s="12" t="n">
        <x:v>0</x:v>
      </x:c>
      <x:c r="D83" s="12" t="n">
        <x:v>0</x:v>
      </x:c>
      <x:c r="E83" s="12" t="n">
        <x:v>1</x:v>
      </x:c>
      <x:c r="F83" s="12" t="n">
        <x:v>1</x:v>
      </x:c>
      <x:c r="G83" s="12" t="n">
        <x:v>1</x:v>
      </x:c>
      <x:c r="H83" s="12" t="n">
        <x:v>1</x:v>
      </x:c>
      <x:c r="I83" s="5"/>
      <x:c r="J83" s="5"/>
      <x:c r="K83" s="5"/>
      <x:c r="L83" s="5"/>
    </x:row>
    <x:row r="84">
      <x:c r="A84" s="7"/>
      <x:c r="B84" s="9" t="str">
        <x:v>Chốt kế hoạch 6 tháng tiếp</x:v>
      </x:c>
      <x:c r="C84" s="12" t="n">
        <x:v>0</x:v>
      </x:c>
      <x:c r="D84" s="12" t="n">
        <x:v>0</x:v>
      </x:c>
      <x:c r="E84" s="12" t="n">
        <x:v>0</x:v>
      </x:c>
      <x:c r="F84" s="12" t="n">
        <x:v>0</x:v>
      </x:c>
      <x:c r="G84" s="12" t="n">
        <x:v>1</x:v>
      </x:c>
      <x:c r="H84" s="12" t="n">
        <x:v>1</x:v>
      </x:c>
      <x:c r="I84" s="5"/>
      <x:c r="J84" s="5"/>
      <x:c r="K84" s="5"/>
      <x:c r="L84" s="5"/>
    </x:row>
    <x:row r="85">
      <x:c r="B85" s="7"/>
      <x:c r="C85" s="7"/>
      <x:c r="D85" s="7"/>
      <x:c r="E85" s="7"/>
      <x:c r="F85" s="7"/>
      <x:c r="G85" s="7"/>
      <x:c r="H85" s="7"/>
      <x:c r="I85" s="5"/>
      <x:c r="J85" s="5"/>
      <x:c r="K85" s="5"/>
      <x:c r="L85" s="5"/>
    </x:row>
    <x:row r="86">
      <x:c r="A86" s="7"/>
      <x:c r="B86" s="8" t="str">
        <x:v>XI. KẾ HOẠCH NHÂN SỰ</x:v>
      </x:c>
      <x:c r="C86" s="11" t="str">
        <x:v>Nhóm chức năng tối thiểu 5–6 người hoặc năng lực tương đương</x:v>
      </x:c>
      <x:c r="D86" s="7"/>
      <x:c r="I86" s="5"/>
      <x:c r="J86" s="5"/>
      <x:c r="K86" s="5"/>
      <x:c r="L86" s="5"/>
    </x:row>
    <x:row r="87" ht="48" customHeight="1">
      <x:c r="A87" s="7"/>
      <x:c r="B87" s="9" t="str">
        <x:v>GTM / Marketing Lead (1)</x:v>
      </x:c>
      <x:c r="C87" s="9" t="str">
        <x:v>Chốt ICP, giả thuyết, message, kênh, kế hoạch test và quyết định KEEP/SCALE/IMPROVE/PAUSE.</x:v>
      </x:c>
      <x:c r="D87" s="7"/>
      <x:c r="I87" s="5"/>
      <x:c r="J87" s="5"/>
      <x:c r="K87" s="5"/>
      <x:c r="L87" s="5"/>
    </x:row>
    <x:row r="88" ht="48" customHeight="1">
      <x:c r="A88" s="7"/>
      <x:c r="B88" s="10" t="str">
        <x:v>Content / Video (1)</x:v>
      </x:c>
      <x:c r="C88" s="9" t="str">
        <x:v>Sản xuất nội dung, demo, tutorial, tái sử dụng giữa Facebook, TikTok và website; gắn mã content/test.</x:v>
      </x:c>
      <x:c r="D88" s="7"/>
      <x:c r="I88" s="5"/>
      <x:c r="J88" s="5"/>
      <x:c r="K88" s="5"/>
      <x:c r="L88" s="5"/>
    </x:row>
    <x:row r="89" ht="48" customHeight="1">
      <x:c r="A89" s="7"/>
      <x:c r="B89" s="15" t="str">
        <x:v>Community / Intern (2)</x:v>
      </x:c>
      <x:c r="C89" s="14" t="str">
        <x:v>Vận hành seeding, kho nguồn, log hoạt động và tín hiệu; tuân thủ quy định cộng đồng.</x:v>
      </x:c>
      <x:c r="D89" s="7"/>
      <x:c r="I89" s="5"/>
      <x:c r="J89" s="5"/>
      <x:c r="K89" s="5"/>
      <x:c r="L89" s="5"/>
    </x:row>
    <x:row r="90" ht="54" customHeight="1">
      <x:c r="A90" s="7"/>
      <x:c r="B90" s="45" t="str">
        <x:v>Sales/CS (1) + Product/Analytics (1)
Sales/CS qualify và follow-up; Product/Analytics theo dõi activation, D7, blocker và feedback lặp để ưu tiên roadmap.</x:v>
      </x:c>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worksheet xmlns="http://schemas.openxmlformats.org/spreadsheetml/2006/main">
  <sheetViews>
    <sheetView showGridLines="0" workbookViewId="0">
      <pane xSplit="3" ySplit="7" topLeftCell="D8" activePane="bottomRight" state="frozen"/>
    </sheetView>
  </sheetViews>
  <sheetFormatPr defaultRowHeight="16"/>
  <cols>
    <col min="1" max="1" width="4.174135684967041" hidden="0" customWidth="1"/>
    <col min="2" max="2" width="33.408451080322266" hidden="0" customWidth="1"/>
    <col min="3" max="3" width="14.478873252868652" hidden="0" customWidth="0"/>
    <col min="4" max="4" width="57.357234954833984" hidden="0" customWidth="1"/>
    <col min="5" max="5" width="14.816901206970215" hidden="0" customWidth="1"/>
    <col min="6" max="6" width="14.816901206970215" hidden="0" customWidth="1"/>
    <col min="7" max="7" width="14.816901206970215" hidden="0" customWidth="1"/>
    <col min="8" max="8" width="14.878361701965332" hidden="0" customWidth="1"/>
    <col min="9" max="9" width="14.816901206970215" hidden="0" customWidth="1"/>
    <col min="10" max="10" width="14.816901206970215" hidden="0" customWidth="1"/>
    <col min="11" max="11" width="15.554417610168457" hidden="0" customWidth="1"/>
    <col min="12" max="12" width="15.492958068847656" hidden="0" customWidth="1"/>
    <col min="13" max="13" width="15.492958068847656" hidden="0" customWidth="1"/>
    <col min="14" max="14" width="15.554417610168457" hidden="0" customWidth="1"/>
    <col min="15" max="15" width="15.492958068847656" hidden="0" customWidth="1"/>
    <col min="16" max="16" width="15.492958068847656" hidden="0" customWidth="1"/>
    <col min="17" max="17" width="15.554417610168457" hidden="0" customWidth="1"/>
    <col min="18" max="18" width="15.492958068847656" hidden="0" customWidth="1"/>
    <col min="19" max="19" width="15.492958068847656" hidden="0" customWidth="1"/>
    <col min="20" max="20" width="15.492958068847656" hidden="0" customWidth="1"/>
    <col min="21" max="21" width="15.492958068847656" hidden="0" customWidth="1"/>
    <col min="22" max="22" width="15.492958068847656" hidden="0" customWidth="1"/>
    <col min="23" max="23" width="15.492958068847656" hidden="0" customWidth="1"/>
    <col min="24" max="24" width="15.492958068847656" hidden="0" customWidth="1"/>
    <col min="25" max="25" width="15.492958068847656" hidden="0" customWidth="1"/>
    <col min="26" max="26" width="15.492958068847656" hidden="0" customWidth="1"/>
    <col min="27" max="27" width="15.492958068847656" hidden="0" customWidth="1"/>
    <col min="28" max="28" width="15.492958068847656" hidden="0" customWidth="1"/>
    <col min="29" max="29" width="15.492958068847656" hidden="0" customWidth="1"/>
    <col min="30" max="30" width="15.492958068847656" hidden="0" customWidth="1"/>
    <col min="31" max="31" width="15.492958068847656" hidden="0" customWidth="1"/>
    <col min="32" max="32" width="15.492958068847656" hidden="0" customWidth="1"/>
    <col min="33" max="33" width="15.492958068847656" hidden="0" customWidth="1"/>
    <col min="34" max="34" width="15.492958068847656" hidden="0" customWidth="1"/>
    <col min="35" max="35" width="15.492958068847656" hidden="0" customWidth="1"/>
    <col min="36" max="36" width="15.492958068847656" hidden="0" customWidth="1"/>
    <col min="37" max="37" width="15.492958068847656" hidden="0" customWidth="1"/>
    <col min="38" max="38" width="15.492958068847656" hidden="0" customWidth="1"/>
    <col min="39" max="39" width="15.492958068847656" hidden="0" customWidth="1"/>
    <col min="40" max="40" width="15.492958068847656" hidden="0" customWidth="1"/>
  </cols>
  <sheetData>
    <row r="1">
      <c r="A1" s="48" t="str">
        <v>  KẾ HOẠCH TÀI CHÍNH INViBROWSER 12 THÁNG (10/2026–09/2027)</v>
      </c>
      <c r="B1" s="48"/>
      <c r="C1" s="48"/>
      <c r="D1" s="48"/>
      <c r="E1" s="49" t="str">
        <v>Phase 1: Acquire + Activate + Learn</v>
      </c>
      <c r="F1" s="49"/>
      <c r="G1" s="49"/>
      <c r="H1" s="49"/>
      <c r="I1" s="49"/>
      <c r="J1" s="49"/>
      <c r="K1" s="50"/>
      <c r="L1" s="50"/>
      <c r="M1" s="50"/>
      <c r="N1" s="49" t="str">
        <v>Phase 2: Focus + Improve</v>
      </c>
      <c r="O1" s="49"/>
      <c r="P1" s="49"/>
      <c r="Q1" s="49"/>
      <c r="R1" s="49"/>
      <c r="S1" s="49"/>
      <c r="T1" s="49"/>
      <c r="U1" s="49"/>
      <c r="V1" s="49"/>
      <c r="W1" s="49" t="str">
        <v>Phase 3: Scale What Works</v>
      </c>
      <c r="X1" s="49"/>
      <c r="Y1" s="49"/>
      <c r="Z1" s="51"/>
      <c r="AA1" s="51"/>
      <c r="AB1" s="51"/>
      <c r="AC1" s="51"/>
      <c r="AD1" s="51"/>
      <c r="AE1" s="51"/>
      <c r="AF1" s="51" t="str">
        <v>Phase 4: Expand Carefully</v>
      </c>
      <c r="AG1" s="51"/>
      <c r="AH1" s="51"/>
      <c r="AI1" s="51"/>
      <c r="AJ1" s="51"/>
      <c r="AK1" s="51"/>
      <c r="AL1" s="51"/>
      <c r="AM1" s="51"/>
      <c r="AN1" s="51"/>
    </row>
    <row r="2" ht="30.35714340209961" customHeight="1">
      <c r="A2" s="48"/>
      <c r="B2" s="48"/>
      <c r="C2" s="48"/>
      <c r="D2" s="48"/>
      <c r="E2" s="52" t="str">
        <v>Hoàn thiện tracking, kiểm tra bốn ICP, content/community/outbound và activation.</v>
      </c>
      <c r="F2" s="52"/>
      <c r="G2" s="52"/>
      <c r="H2" s="52"/>
      <c r="I2" s="52"/>
      <c r="J2" s="53"/>
      <c r="K2" s="52"/>
      <c r="L2" s="52"/>
      <c r="M2" s="52"/>
      <c r="N2" s="54" t="str">
        <v>Giữ 2–3 hướng mạnh, tối ưu onboarding và product theo use case.</v>
      </c>
      <c r="O2" s="52"/>
      <c r="P2" s="52"/>
      <c r="Q2" s="52"/>
      <c r="R2" s="52"/>
      <c r="S2" s="52"/>
      <c r="T2" s="52"/>
      <c r="U2" s="52"/>
      <c r="V2" s="52"/>
      <c r="W2" s="52" t="str">
        <v>Scale kênh/message tốt, case study, retarget và trigger nâng cấp.</v>
      </c>
      <c r="X2" s="52"/>
      <c r="Y2" s="52"/>
      <c r="Z2" s="52"/>
      <c r="AA2" s="52"/>
      <c r="AB2" s="52"/>
      <c r="AC2" s="52"/>
      <c r="AD2" s="52"/>
      <c r="AE2" s="52"/>
      <c r="AF2" s="52" t="str">
        <v>Mở rộng ICP/kênh có kiểm soát; cập nhật pricing và roadmap.</v>
      </c>
      <c r="AG2" s="52"/>
      <c r="AH2" s="52"/>
      <c r="AI2" s="52"/>
      <c r="AJ2" s="52"/>
      <c r="AK2" s="52"/>
      <c r="AL2" s="52"/>
      <c r="AM2" s="52"/>
      <c r="AN2" s="52"/>
    </row>
    <row r="3">
      <c r="A3" s="55"/>
      <c r="B3" s="56" t="str">
        <v>Hạng mục</v>
      </c>
      <c r="C3" s="57" t="str">
        <v>Nội dung</v>
      </c>
      <c r="D3" s="58" t="str">
        <v>Chú thích</v>
      </c>
      <c r="E3" s="57" t="str">
        <v>Tháng 10/2026</v>
      </c>
      <c r="F3" s="57"/>
      <c r="G3" s="57"/>
      <c r="H3" s="57" t="str">
        <v>Tháng 11/2026</v>
      </c>
      <c r="I3" s="57"/>
      <c r="J3" s="57"/>
      <c r="K3" s="59" t="str">
        <v>Tháng 12/2026</v>
      </c>
      <c r="L3" s="59"/>
      <c r="M3" s="59"/>
      <c r="N3" s="57" t="str">
        <v>Tháng 01/2027</v>
      </c>
      <c r="O3" s="57"/>
      <c r="P3" s="57"/>
      <c r="Q3" s="57" t="str">
        <v>Tháng 02/2027</v>
      </c>
      <c r="R3" s="57"/>
      <c r="S3" s="57"/>
      <c r="T3" s="57" t="str">
        <v>Tháng 03/2027</v>
      </c>
      <c r="U3" s="57"/>
      <c r="V3" s="57"/>
      <c r="W3" s="57" t="str">
        <v>Tháng 04/2027</v>
      </c>
      <c r="X3" s="57"/>
      <c r="Y3" s="57"/>
      <c r="Z3" s="57" t="str">
        <v>Tháng 05/2027</v>
      </c>
      <c r="AA3" s="57"/>
      <c r="AB3" s="57"/>
      <c r="AC3" s="57" t="str">
        <v>Tháng 06/2027</v>
      </c>
      <c r="AD3" s="57"/>
      <c r="AE3" s="57"/>
      <c r="AF3" s="57" t="str">
        <v>Tháng 07/2027</v>
      </c>
      <c r="AG3" s="57"/>
      <c r="AH3" s="57"/>
      <c r="AI3" s="57" t="str">
        <v>Tháng 08/2027</v>
      </c>
      <c r="AJ3" s="57"/>
      <c r="AK3" s="57"/>
      <c r="AL3" s="57" t="str">
        <v>Tháng 09/2027</v>
      </c>
      <c r="AM3" s="57"/>
      <c r="AN3" s="57"/>
    </row>
    <row r="4">
      <c r="A4" s="55"/>
      <c r="B4" s="60" t="str">
        <v>Kế hoạch theo gói khách hàng</v>
      </c>
      <c r="C4" s="61"/>
      <c r="D4" s="62"/>
      <c r="E4" s="63" t="str">
        <v>Solo Pro</v>
      </c>
      <c r="F4" s="64" t="str">
        <v>Team Pro</v>
      </c>
      <c r="G4" s="65" t="str">
        <v>Business</v>
      </c>
      <c r="H4" s="63" t="str">
        <v>Solo Pro</v>
      </c>
      <c r="I4" s="64" t="str">
        <v>Team Pro</v>
      </c>
      <c r="J4" s="65" t="str">
        <v>Business</v>
      </c>
      <c r="K4" s="63" t="str">
        <v>Solo Pro</v>
      </c>
      <c r="L4" s="64" t="str">
        <v>Team Pro</v>
      </c>
      <c r="M4" s="65" t="str">
        <v>Business</v>
      </c>
      <c r="N4" s="63" t="str">
        <v>Solo Pro</v>
      </c>
      <c r="O4" s="64" t="str">
        <v>Team Pro</v>
      </c>
      <c r="P4" s="65" t="str">
        <v>Business</v>
      </c>
      <c r="Q4" s="63" t="str">
        <v>Solo Pro</v>
      </c>
      <c r="R4" s="64" t="str">
        <v>Team Pro</v>
      </c>
      <c r="S4" s="65" t="str">
        <v>Business</v>
      </c>
      <c r="T4" s="63" t="str">
        <v>Solo Pro</v>
      </c>
      <c r="U4" s="64" t="str">
        <v>Team Pro</v>
      </c>
      <c r="V4" s="65" t="str">
        <v>Business</v>
      </c>
      <c r="W4" s="63" t="str">
        <v>Solo Pro</v>
      </c>
      <c r="X4" s="64" t="str">
        <v>Team Pro</v>
      </c>
      <c r="Y4" s="65" t="str">
        <v>Business</v>
      </c>
      <c r="Z4" s="63" t="str">
        <v>Solo Pro</v>
      </c>
      <c r="AA4" s="64" t="str">
        <v>Team Pro</v>
      </c>
      <c r="AB4" s="65" t="str">
        <v>Business</v>
      </c>
      <c r="AC4" s="63" t="str">
        <v>Solo Pro</v>
      </c>
      <c r="AD4" s="64" t="str">
        <v>Team Pro</v>
      </c>
      <c r="AE4" s="65" t="str">
        <v>Business</v>
      </c>
      <c r="AF4" s="63" t="str">
        <v>Solo Pro</v>
      </c>
      <c r="AG4" s="64" t="str">
        <v>Team Pro</v>
      </c>
      <c r="AH4" s="65" t="str">
        <v>Business</v>
      </c>
      <c r="AI4" s="63" t="str">
        <v>Solo Pro</v>
      </c>
      <c r="AJ4" s="64" t="str">
        <v>Team Pro</v>
      </c>
      <c r="AK4" s="65" t="str">
        <v>Business</v>
      </c>
      <c r="AL4" s="63" t="str">
        <v>Solo Pro</v>
      </c>
      <c r="AM4" s="64" t="str">
        <v>Team Pro</v>
      </c>
      <c r="AN4" s="65" t="str">
        <v>Business</v>
      </c>
    </row>
    <row r="5" ht="64.94860076904297" customHeight="1">
      <c r="A5" s="55"/>
      <c r="B5" s="61" t="str">
        <v>Ô màu vàng là giả định cần nhập. Chưa có pricing, CAC, budget hay payroll nên không tự đặt số.</v>
      </c>
      <c r="C5" s="61"/>
      <c r="D5" s="62"/>
      <c r="E5" s="63"/>
      <c r="F5" s="64"/>
      <c r="G5" s="65"/>
      <c r="H5" s="63"/>
      <c r="I5" s="64"/>
      <c r="J5" s="65"/>
      <c r="K5" s="63"/>
      <c r="L5" s="64"/>
      <c r="M5" s="65"/>
      <c r="N5" s="63"/>
      <c r="O5" s="64"/>
      <c r="P5" s="65"/>
      <c r="Q5" s="63"/>
      <c r="R5" s="64"/>
      <c r="S5" s="65"/>
      <c r="T5" s="63"/>
      <c r="U5" s="64"/>
      <c r="V5" s="65"/>
      <c r="W5" s="63"/>
      <c r="X5" s="64"/>
      <c r="Y5" s="65"/>
      <c r="Z5" s="63"/>
      <c r="AA5" s="64"/>
      <c r="AB5" s="65"/>
      <c r="AC5" s="63"/>
      <c r="AD5" s="64"/>
      <c r="AE5" s="65"/>
      <c r="AF5" s="63"/>
      <c r="AG5" s="64"/>
      <c r="AH5" s="65"/>
      <c r="AI5" s="63"/>
      <c r="AJ5" s="64"/>
      <c r="AK5" s="65"/>
      <c r="AL5" s="63"/>
      <c r="AM5" s="64"/>
      <c r="AN5" s="65"/>
    </row>
    <row r="6" ht="18.682371139526367" customHeight="1">
      <c r="A6" s="66"/>
      <c r="B6" s="67" t="str">
        <v>Sản phẩm</v>
      </c>
      <c r="C6" s="68" t="str">
        <v>InviBrowser</v>
      </c>
      <c r="D6" s="69" t="str">
        <v>Ba cột mỗi tháng: Solo Pro, Team Pro, Business</v>
      </c>
      <c r="E6" s="70"/>
      <c r="F6" s="70"/>
      <c r="G6" s="71"/>
      <c r="H6" s="70"/>
      <c r="I6" s="70"/>
      <c r="J6" s="71"/>
      <c r="K6" s="70"/>
      <c r="L6" s="70"/>
      <c r="M6" s="71"/>
      <c r="N6" s="70"/>
      <c r="O6" s="70"/>
      <c r="P6" s="71"/>
      <c r="Q6" s="70"/>
      <c r="R6" s="70"/>
      <c r="S6" s="71"/>
      <c r="T6" s="70"/>
      <c r="U6" s="70"/>
      <c r="V6" s="71"/>
      <c r="W6" s="70"/>
      <c r="X6" s="70"/>
      <c r="Y6" s="71"/>
      <c r="Z6" s="70"/>
      <c r="AA6" s="70"/>
      <c r="AB6" s="71"/>
      <c r="AC6" s="70"/>
      <c r="AD6" s="70"/>
      <c r="AE6" s="71"/>
      <c r="AF6" s="70"/>
      <c r="AG6" s="70"/>
      <c r="AH6" s="71"/>
      <c r="AI6" s="70"/>
      <c r="AJ6" s="70"/>
      <c r="AK6" s="71"/>
      <c r="AL6" s="70"/>
      <c r="AM6" s="70"/>
      <c r="AN6" s="71"/>
    </row>
    <row r="7" ht="16.66666603088379" customHeight="1">
      <c r="A7" s="55"/>
      <c r="B7" s="67"/>
      <c r="C7" s="68"/>
      <c r="D7" s="487"/>
      <c r="E7" s="73"/>
      <c r="F7" s="74"/>
      <c r="G7" s="74"/>
      <c r="H7" s="73"/>
      <c r="I7" s="73"/>
      <c r="J7" s="73"/>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row>
    <row r="8">
      <c r="A8" s="55" t="n">
        <v>1</v>
      </c>
      <c r="B8" s="75" t="str">
        <v>Funnel &amp; doanh thu</v>
      </c>
      <c r="C8" s="76"/>
      <c r="D8" s="489"/>
      <c r="E8" s="78"/>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row>
    <row r="9" ht="16.66666603088379" customHeight="1">
      <c r="A9" s="55" t="n">
        <v>1.1</v>
      </c>
      <c r="B9" s="80" t="str">
        <v>Website visits</v>
      </c>
      <c r="C9" s="81"/>
      <c r="D9" s="82" t="str">
        <v>Input theo plan/tháng</v>
      </c>
      <c r="E9" s="462"/>
      <c r="F9" s="463"/>
      <c r="G9" s="463"/>
      <c r="H9" s="463"/>
      <c r="I9" s="463"/>
      <c r="J9" s="463"/>
      <c r="K9" s="463"/>
      <c r="L9" s="463"/>
      <c r="M9" s="463"/>
      <c r="N9" s="463"/>
      <c r="O9" s="463"/>
      <c r="P9" s="463"/>
      <c r="Q9" s="463"/>
      <c r="R9" s="463"/>
      <c r="S9" s="463"/>
      <c r="T9" s="463"/>
      <c r="U9" s="463"/>
      <c r="V9" s="463"/>
      <c r="W9" s="463"/>
      <c r="X9" s="463"/>
      <c r="Y9" s="463"/>
      <c r="Z9" s="463"/>
      <c r="AA9" s="463"/>
      <c r="AB9" s="463"/>
      <c r="AC9" s="463"/>
      <c r="AD9" s="463"/>
      <c r="AE9" s="463"/>
      <c r="AF9" s="463"/>
      <c r="AG9" s="463"/>
      <c r="AH9" s="463"/>
      <c r="AI9" s="463"/>
      <c r="AJ9" s="463"/>
      <c r="AK9" s="463"/>
      <c r="AL9" s="463"/>
      <c r="AM9" s="463"/>
      <c r="AN9" s="463"/>
    </row>
    <row r="10" ht="27.610942840576172" customHeight="1">
      <c r="A10" s="85" t="n">
        <v>1.2</v>
      </c>
      <c r="B10" s="86" t="str">
        <v>Tỷ lệ signup</v>
      </c>
      <c r="C10" s="81"/>
      <c r="D10" s="82" t="str">
        <v>Signup / website visits</v>
      </c>
      <c r="E10" s="464"/>
      <c r="F10" s="465"/>
      <c r="G10" s="465"/>
      <c r="H10" s="465"/>
      <c r="I10" s="465"/>
      <c r="J10" s="465"/>
      <c r="K10" s="465"/>
      <c r="L10" s="465"/>
      <c r="M10" s="465"/>
      <c r="N10" s="465"/>
      <c r="O10" s="465"/>
      <c r="P10" s="465"/>
      <c r="Q10" s="465"/>
      <c r="R10" s="465"/>
      <c r="S10" s="465"/>
      <c r="T10" s="465"/>
      <c r="U10" s="465"/>
      <c r="V10" s="465"/>
      <c r="W10" s="465"/>
      <c r="X10" s="465"/>
      <c r="Y10" s="465"/>
      <c r="Z10" s="465"/>
      <c r="AA10" s="465"/>
      <c r="AB10" s="465"/>
      <c r="AC10" s="465"/>
      <c r="AD10" s="465"/>
      <c r="AE10" s="465"/>
      <c r="AF10" s="465"/>
      <c r="AG10" s="465"/>
      <c r="AH10" s="465"/>
      <c r="AI10" s="465"/>
      <c r="AJ10" s="465"/>
      <c r="AK10" s="465"/>
      <c r="AL10" s="465"/>
      <c r="AM10" s="465"/>
      <c r="AN10" s="465"/>
    </row>
    <row r="11">
      <c r="A11" s="85" t="n">
        <v>1.3</v>
      </c>
      <c r="B11" s="87" t="str">
        <v>Signup</v>
      </c>
      <c r="C11" s="81"/>
      <c r="D11" s="82" t="str">
        <v>Website visits × tỷ lệ signup</v>
      </c>
      <c r="E11" s="466" t="str">
        <f>IF(OR(E9="",E10=""),"",E9*E10)</f>
      </c>
      <c r="F11" s="467" t="str">
        <f>IF(OR(F9="",F10=""),"",F9*F10)</f>
      </c>
      <c r="G11" s="467" t="str">
        <f>IF(OR(G9="",G10=""),"",G9*G10)</f>
      </c>
      <c r="H11" s="467" t="str">
        <f>IF(OR(H9="",H10=""),"",H9*H10)</f>
      </c>
      <c r="I11" s="467" t="str">
        <f>IF(OR(I9="",I10=""),"",I9*I10)</f>
      </c>
      <c r="J11" s="467" t="str">
        <f>IF(OR(J9="",J10=""),"",J9*J10)</f>
      </c>
      <c r="K11" s="467" t="str">
        <f>IF(OR(K9="",K10=""),"",K9*K10)</f>
      </c>
      <c r="L11" s="467" t="str">
        <f>IF(OR(L9="",L10=""),"",L9*L10)</f>
      </c>
      <c r="M11" s="467" t="str">
        <f>IF(OR(M9="",M10=""),"",M9*M10)</f>
      </c>
      <c r="N11" s="467" t="str">
        <f>IF(OR(N9="",N10=""),"",N9*N10)</f>
      </c>
      <c r="O11" s="467" t="str">
        <f>IF(OR(O9="",O10=""),"",O9*O10)</f>
      </c>
      <c r="P11" s="467" t="str">
        <f>IF(OR(P9="",P10=""),"",P9*P10)</f>
      </c>
      <c r="Q11" s="467" t="str">
        <f>IF(OR(Q9="",Q10=""),"",Q9*Q10)</f>
      </c>
      <c r="R11" s="467" t="str">
        <f>IF(OR(R9="",R10=""),"",R9*R10)</f>
      </c>
      <c r="S11" s="467" t="str">
        <f>IF(OR(S9="",S10=""),"",S9*S10)</f>
      </c>
      <c r="T11" s="467" t="str">
        <f>IF(OR(T9="",T10=""),"",T9*T10)</f>
      </c>
      <c r="U11" s="467" t="str">
        <f>IF(OR(U9="",U10=""),"",U9*U10)</f>
      </c>
      <c r="V11" s="467" t="str">
        <f>IF(OR(V9="",V10=""),"",V9*V10)</f>
      </c>
      <c r="W11" s="467" t="str">
        <f>IF(OR(W9="",W10=""),"",W9*W10)</f>
      </c>
      <c r="X11" s="467" t="str">
        <f>IF(OR(X9="",X10=""),"",X9*X10)</f>
      </c>
      <c r="Y11" s="467" t="str">
        <f>IF(OR(Y9="",Y10=""),"",Y9*Y10)</f>
      </c>
      <c r="Z11" s="467" t="str">
        <f>IF(OR(Z9="",Z10=""),"",Z9*Z10)</f>
      </c>
      <c r="AA11" s="467" t="str">
        <f>IF(OR(AA9="",AA10=""),"",AA9*AA10)</f>
      </c>
      <c r="AB11" s="467" t="str">
        <f>IF(OR(AB9="",AB10=""),"",AB9*AB10)</f>
      </c>
      <c r="AC11" s="467" t="str">
        <f>IF(OR(AC9="",AC10=""),"",AC9*AC10)</f>
      </c>
      <c r="AD11" s="467" t="str">
        <f>IF(OR(AD9="",AD10=""),"",AD9*AD10)</f>
      </c>
      <c r="AE11" s="467" t="str">
        <f>IF(OR(AE9="",AE10=""),"",AE9*AE10)</f>
      </c>
      <c r="AF11" s="467" t="str">
        <f>IF(OR(AF9="",AF10=""),"",AF9*AF10)</f>
      </c>
      <c r="AG11" s="467" t="str">
        <f>IF(OR(AG9="",AG10=""),"",AG9*AG10)</f>
      </c>
      <c r="AH11" s="467" t="str">
        <f>IF(OR(AH9="",AH10=""),"",AH9*AH10)</f>
      </c>
      <c r="AI11" s="467" t="str">
        <f>IF(OR(AI9="",AI10=""),"",AI9*AI10)</f>
      </c>
      <c r="AJ11" s="467" t="str">
        <f>IF(OR(AJ9="",AJ10=""),"",AJ9*AJ10)</f>
      </c>
      <c r="AK11" s="467" t="str">
        <f>IF(OR(AK9="",AK10=""),"",AK9*AK10)</f>
      </c>
      <c r="AL11" s="467" t="str">
        <f>IF(OR(AL9="",AL10=""),"",AL9*AL10)</f>
      </c>
      <c r="AM11" s="467" t="str">
        <f>IF(OR(AM9="",AM10=""),"",AM9*AM10)</f>
      </c>
      <c r="AN11" s="467" t="str">
        <f>IF(OR(AN9="",AN10=""),"",AN9*AN10)</f>
      </c>
    </row>
    <row r="12" ht="28.571428298950195" customHeight="1">
      <c r="A12" s="55" t="n">
        <v>1.4</v>
      </c>
      <c r="B12" s="80" t="str">
        <v>Tỷ lệ activation</v>
      </c>
      <c r="C12" s="90"/>
      <c r="D12" s="82" t="str">
        <v>Activated / signup</v>
      </c>
      <c r="E12" s="464"/>
      <c r="F12" s="465"/>
      <c r="G12" s="465"/>
      <c r="H12" s="465"/>
      <c r="I12" s="465"/>
      <c r="J12" s="465"/>
      <c r="K12" s="465"/>
      <c r="L12" s="465"/>
      <c r="M12" s="465"/>
      <c r="N12" s="465"/>
      <c r="O12" s="465"/>
      <c r="P12" s="465"/>
      <c r="Q12" s="465"/>
      <c r="R12" s="465"/>
      <c r="S12" s="465"/>
      <c r="T12" s="465"/>
      <c r="U12" s="465"/>
      <c r="V12" s="465"/>
      <c r="W12" s="465"/>
      <c r="X12" s="465"/>
      <c r="Y12" s="465"/>
      <c r="Z12" s="465"/>
      <c r="AA12" s="465"/>
      <c r="AB12" s="465"/>
      <c r="AC12" s="465"/>
      <c r="AD12" s="465"/>
      <c r="AE12" s="465"/>
      <c r="AF12" s="465"/>
      <c r="AG12" s="465"/>
      <c r="AH12" s="465"/>
      <c r="AI12" s="465"/>
      <c r="AJ12" s="465"/>
      <c r="AK12" s="465"/>
      <c r="AL12" s="465"/>
      <c r="AM12" s="465"/>
      <c r="AN12" s="465"/>
    </row>
    <row r="13" ht="16.66666603088379" hidden="1" customHeight="1">
      <c r="A13" s="93"/>
      <c r="B13" s="94" t="str">
        <v>Activated users</v>
      </c>
      <c r="C13" s="95"/>
      <c r="D13" s="96" t="str">
        <v>Signup × tỷ lệ activation</v>
      </c>
      <c r="E13" s="468" t="str">
        <f>IF(OR(E11="",E12=""),"",E11*E12)</f>
      </c>
      <c r="F13" s="468" t="str">
        <f>IF(OR(F11="",F12=""),"",F11*F12)</f>
      </c>
      <c r="G13" s="468" t="str">
        <f>IF(OR(G11="",G12=""),"",G11*G12)</f>
      </c>
      <c r="H13" s="468" t="str">
        <f>IF(OR(H11="",H12=""),"",H11*H12)</f>
      </c>
      <c r="I13" s="468" t="str">
        <f>IF(OR(I11="",I12=""),"",I11*I12)</f>
      </c>
      <c r="J13" s="468" t="str">
        <f>IF(OR(J11="",J12=""),"",J11*J12)</f>
      </c>
      <c r="K13" s="468" t="str">
        <f>IF(OR(K11="",K12=""),"",K11*K12)</f>
      </c>
      <c r="L13" s="468" t="str">
        <f>IF(OR(L11="",L12=""),"",L11*L12)</f>
      </c>
      <c r="M13" s="468" t="str">
        <f>IF(OR(M11="",M12=""),"",M11*M12)</f>
      </c>
      <c r="N13" s="468" t="str">
        <f>IF(OR(N11="",N12=""),"",N11*N12)</f>
      </c>
      <c r="O13" s="468" t="str">
        <f>IF(OR(O11="",O12=""),"",O11*O12)</f>
      </c>
      <c r="P13" s="468" t="str">
        <f>IF(OR(P11="",P12=""),"",P11*P12)</f>
      </c>
      <c r="Q13" s="468" t="str">
        <f>IF(OR(Q11="",Q12=""),"",Q11*Q12)</f>
      </c>
      <c r="R13" s="468" t="str">
        <f>IF(OR(R11="",R12=""),"",R11*R12)</f>
      </c>
      <c r="S13" s="468" t="str">
        <f>IF(OR(S11="",S12=""),"",S11*S12)</f>
      </c>
      <c r="T13" s="468" t="str">
        <f>IF(OR(T11="",T12=""),"",T11*T12)</f>
      </c>
      <c r="U13" s="468" t="str">
        <f>IF(OR(U11="",U12=""),"",U11*U12)</f>
      </c>
      <c r="V13" s="468" t="str">
        <f>IF(OR(V11="",V12=""),"",V11*V12)</f>
      </c>
      <c r="W13" s="468" t="str">
        <f>IF(OR(W11="",W12=""),"",W11*W12)</f>
      </c>
      <c r="X13" s="468" t="str">
        <f>IF(OR(X11="",X12=""),"",X11*X12)</f>
      </c>
      <c r="Y13" s="468" t="str">
        <f>IF(OR(Y11="",Y12=""),"",Y11*Y12)</f>
      </c>
      <c r="Z13" s="468" t="str">
        <f>IF(OR(Z11="",Z12=""),"",Z11*Z12)</f>
      </c>
      <c r="AA13" s="468" t="str">
        <f>IF(OR(AA11="",AA12=""),"",AA11*AA12)</f>
      </c>
      <c r="AB13" s="468" t="str">
        <f>IF(OR(AB11="",AB12=""),"",AB11*AB12)</f>
      </c>
      <c r="AC13" s="468" t="str">
        <f>IF(OR(AC11="",AC12=""),"",AC11*AC12)</f>
      </c>
      <c r="AD13" s="468" t="str">
        <f>IF(OR(AD11="",AD12=""),"",AD11*AD12)</f>
      </c>
      <c r="AE13" s="468" t="str">
        <f>IF(OR(AE11="",AE12=""),"",AE11*AE12)</f>
      </c>
      <c r="AF13" s="468" t="str">
        <f>IF(OR(AF11="",AF12=""),"",AF11*AF12)</f>
      </c>
      <c r="AG13" s="468" t="str">
        <f>IF(OR(AG11="",AG12=""),"",AG11*AG12)</f>
      </c>
      <c r="AH13" s="468" t="str">
        <f>IF(OR(AH11="",AH12=""),"",AH11*AH12)</f>
      </c>
      <c r="AI13" s="468" t="str">
        <f>IF(OR(AI11="",AI12=""),"",AI11*AI12)</f>
      </c>
      <c r="AJ13" s="468" t="str">
        <f>IF(OR(AJ11="",AJ12=""),"",AJ11*AJ12)</f>
      </c>
      <c r="AK13" s="468" t="str">
        <f>IF(OR(AK11="",AK12=""),"",AK11*AK12)</f>
      </c>
      <c r="AL13" s="468" t="str">
        <f>IF(OR(AL11="",AL12=""),"",AL11*AL12)</f>
      </c>
      <c r="AM13" s="468" t="str">
        <f>IF(OR(AM11="",AM12=""),"",AM11*AM12)</f>
      </c>
      <c r="AN13" s="468" t="str">
        <f>IF(OR(AN11="",AN12=""),"",AN11*AN12)</f>
      </c>
    </row>
    <row r="14" ht="16.66666603088379" hidden="1" customHeight="1">
      <c r="A14" s="93"/>
      <c r="B14" s="80" t="str">
        <v>Tỷ lệ D7</v>
      </c>
      <c r="C14" s="84"/>
      <c r="D14" s="98" t="str">
        <v>D7 / activated</v>
      </c>
      <c r="E14" s="465"/>
      <c r="F14" s="465"/>
      <c r="G14" s="465"/>
      <c r="H14" s="465"/>
      <c r="I14" s="465"/>
      <c r="J14" s="465"/>
      <c r="K14" s="465"/>
      <c r="L14" s="465"/>
      <c r="M14" s="465"/>
      <c r="N14" s="465"/>
      <c r="O14" s="465"/>
      <c r="P14" s="465"/>
      <c r="Q14" s="465"/>
      <c r="R14" s="465"/>
      <c r="S14" s="465"/>
      <c r="T14" s="465"/>
      <c r="U14" s="465"/>
      <c r="V14" s="465"/>
      <c r="W14" s="465"/>
      <c r="X14" s="465"/>
      <c r="Y14" s="465"/>
      <c r="Z14" s="465"/>
      <c r="AA14" s="465"/>
      <c r="AB14" s="465"/>
      <c r="AC14" s="465"/>
      <c r="AD14" s="465"/>
      <c r="AE14" s="465"/>
      <c r="AF14" s="465"/>
      <c r="AG14" s="465"/>
      <c r="AH14" s="465"/>
      <c r="AI14" s="465"/>
      <c r="AJ14" s="465"/>
      <c r="AK14" s="465"/>
      <c r="AL14" s="465"/>
      <c r="AM14" s="465"/>
      <c r="AN14" s="465"/>
    </row>
    <row r="15" ht="16.66666603088379" hidden="1" customHeight="1">
      <c r="A15" s="93"/>
      <c r="B15" s="80" t="str">
        <v>D7 retained users</v>
      </c>
      <c r="C15" s="84"/>
      <c r="D15" s="98" t="str">
        <v>Activated × tỷ lệ D7</v>
      </c>
      <c r="E15" s="469" t="str">
        <f>IF(OR(E13="",E14=""),"",E13*E14)</f>
      </c>
      <c r="F15" s="469" t="str">
        <f>IF(OR(F13="",F14=""),"",F13*F14)</f>
      </c>
      <c r="G15" s="469" t="str">
        <f>IF(OR(G13="",G14=""),"",G13*G14)</f>
      </c>
      <c r="H15" s="469" t="str">
        <f>IF(OR(H13="",H14=""),"",H13*H14)</f>
      </c>
      <c r="I15" s="469" t="str">
        <f>IF(OR(I13="",I14=""),"",I13*I14)</f>
      </c>
      <c r="J15" s="469" t="str">
        <f>IF(OR(J13="",J14=""),"",J13*J14)</f>
      </c>
      <c r="K15" s="469" t="str">
        <f>IF(OR(K13="",K14=""),"",K13*K14)</f>
      </c>
      <c r="L15" s="469" t="str">
        <f>IF(OR(L13="",L14=""),"",L13*L14)</f>
      </c>
      <c r="M15" s="469" t="str">
        <f>IF(OR(M13="",M14=""),"",M13*M14)</f>
      </c>
      <c r="N15" s="469" t="str">
        <f>IF(OR(N13="",N14=""),"",N13*N14)</f>
      </c>
      <c r="O15" s="469" t="str">
        <f>IF(OR(O13="",O14=""),"",O13*O14)</f>
      </c>
      <c r="P15" s="469" t="str">
        <f>IF(OR(P13="",P14=""),"",P13*P14)</f>
      </c>
      <c r="Q15" s="469" t="str">
        <f>IF(OR(Q13="",Q14=""),"",Q13*Q14)</f>
      </c>
      <c r="R15" s="469" t="str">
        <f>IF(OR(R13="",R14=""),"",R13*R14)</f>
      </c>
      <c r="S15" s="469" t="str">
        <f>IF(OR(S13="",S14=""),"",S13*S14)</f>
      </c>
      <c r="T15" s="469" t="str">
        <f>IF(OR(T13="",T14=""),"",T13*T14)</f>
      </c>
      <c r="U15" s="469" t="str">
        <f>IF(OR(U13="",U14=""),"",U13*U14)</f>
      </c>
      <c r="V15" s="469" t="str">
        <f>IF(OR(V13="",V14=""),"",V13*V14)</f>
      </c>
      <c r="W15" s="469" t="str">
        <f>IF(OR(W13="",W14=""),"",W13*W14)</f>
      </c>
      <c r="X15" s="469" t="str">
        <f>IF(OR(X13="",X14=""),"",X13*X14)</f>
      </c>
      <c r="Y15" s="469" t="str">
        <f>IF(OR(Y13="",Y14=""),"",Y13*Y14)</f>
      </c>
      <c r="Z15" s="469" t="str">
        <f>IF(OR(Z13="",Z14=""),"",Z13*Z14)</f>
      </c>
      <c r="AA15" s="469" t="str">
        <f>IF(OR(AA13="",AA14=""),"",AA13*AA14)</f>
      </c>
      <c r="AB15" s="469" t="str">
        <f>IF(OR(AB13="",AB14=""),"",AB13*AB14)</f>
      </c>
      <c r="AC15" s="469" t="str">
        <f>IF(OR(AC13="",AC14=""),"",AC13*AC14)</f>
      </c>
      <c r="AD15" s="469" t="str">
        <f>IF(OR(AD13="",AD14=""),"",AD13*AD14)</f>
      </c>
      <c r="AE15" s="469" t="str">
        <f>IF(OR(AE13="",AE14=""),"",AE13*AE14)</f>
      </c>
      <c r="AF15" s="469" t="str">
        <f>IF(OR(AF13="",AF14=""),"",AF13*AF14)</f>
      </c>
      <c r="AG15" s="469" t="str">
        <f>IF(OR(AG13="",AG14=""),"",AG13*AG14)</f>
      </c>
      <c r="AH15" s="469" t="str">
        <f>IF(OR(AH13="",AH14=""),"",AH13*AH14)</f>
      </c>
      <c r="AI15" s="469" t="str">
        <f>IF(OR(AI13="",AI14=""),"",AI13*AI14)</f>
      </c>
      <c r="AJ15" s="469" t="str">
        <f>IF(OR(AJ13="",AJ14=""),"",AJ13*AJ14)</f>
      </c>
      <c r="AK15" s="469" t="str">
        <f>IF(OR(AK13="",AK14=""),"",AK13*AK14)</f>
      </c>
      <c r="AL15" s="469" t="str">
        <f>IF(OR(AL13="",AL14=""),"",AL13*AL14)</f>
      </c>
      <c r="AM15" s="469" t="str">
        <f>IF(OR(AM13="",AM14=""),"",AM13*AM14)</f>
      </c>
      <c r="AN15" s="469" t="str">
        <f>IF(OR(AN13="",AN14=""),"",AN13*AN14)</f>
      </c>
    </row>
    <row r="16" ht="16.66666603088379" hidden="1" customHeight="1">
      <c r="A16" s="93"/>
      <c r="B16" s="80" t="str">
        <v>Tỷ lệ Paid từ D7</v>
      </c>
      <c r="C16" s="84"/>
      <c r="D16" s="98" t="str">
        <v>Paid / D7</v>
      </c>
      <c r="E16" s="465"/>
      <c r="F16" s="465"/>
      <c r="G16" s="465"/>
      <c r="H16" s="465"/>
      <c r="I16" s="465"/>
      <c r="J16" s="465"/>
      <c r="K16" s="465"/>
      <c r="L16" s="465"/>
      <c r="M16" s="465"/>
      <c r="N16" s="465"/>
      <c r="O16" s="465"/>
      <c r="P16" s="465"/>
      <c r="Q16" s="465"/>
      <c r="R16" s="465"/>
      <c r="S16" s="465"/>
      <c r="T16" s="465"/>
      <c r="U16" s="465"/>
      <c r="V16" s="465"/>
      <c r="W16" s="465"/>
      <c r="X16" s="465"/>
      <c r="Y16" s="465"/>
      <c r="Z16" s="465"/>
      <c r="AA16" s="465"/>
      <c r="AB16" s="465"/>
      <c r="AC16" s="465"/>
      <c r="AD16" s="465"/>
      <c r="AE16" s="465"/>
      <c r="AF16" s="465"/>
      <c r="AG16" s="465"/>
      <c r="AH16" s="465"/>
      <c r="AI16" s="465"/>
      <c r="AJ16" s="465"/>
      <c r="AK16" s="465"/>
      <c r="AL16" s="465"/>
      <c r="AM16" s="465"/>
      <c r="AN16" s="465"/>
    </row>
    <row r="17" ht="19.047618865966797" hidden="1" customHeight="1">
      <c r="A17" s="93"/>
      <c r="B17" s="94" t="str">
        <v>Paid users</v>
      </c>
      <c r="C17" s="95"/>
      <c r="D17" s="100" t="str">
        <v>D7 × tỷ lệ paid</v>
      </c>
      <c r="E17" s="468" t="str">
        <f>IF(OR(E15="",E16=""),"",E15*E16)</f>
      </c>
      <c r="F17" s="468" t="str">
        <f>IF(OR(F15="",F16=""),"",F15*F16)</f>
      </c>
      <c r="G17" s="468" t="str">
        <f>IF(OR(G15="",G16=""),"",G15*G16)</f>
      </c>
      <c r="H17" s="468" t="str">
        <f>IF(OR(H15="",H16=""),"",H15*H16)</f>
      </c>
      <c r="I17" s="468" t="str">
        <f>IF(OR(I15="",I16=""),"",I15*I16)</f>
      </c>
      <c r="J17" s="468" t="str">
        <f>IF(OR(J15="",J16=""),"",J15*J16)</f>
      </c>
      <c r="K17" s="468" t="str">
        <f>IF(OR(K15="",K16=""),"",K15*K16)</f>
      </c>
      <c r="L17" s="468" t="str">
        <f>IF(OR(L15="",L16=""),"",L15*L16)</f>
      </c>
      <c r="M17" s="468" t="str">
        <f>IF(OR(M15="",M16=""),"",M15*M16)</f>
      </c>
      <c r="N17" s="468" t="str">
        <f>IF(OR(N15="",N16=""),"",N15*N16)</f>
      </c>
      <c r="O17" s="468" t="str">
        <f>IF(OR(O15="",O16=""),"",O15*O16)</f>
      </c>
      <c r="P17" s="468" t="str">
        <f>IF(OR(P15="",P16=""),"",P15*P16)</f>
      </c>
      <c r="Q17" s="468" t="str">
        <f>IF(OR(Q15="",Q16=""),"",Q15*Q16)</f>
      </c>
      <c r="R17" s="468" t="str">
        <f>IF(OR(R15="",R16=""),"",R15*R16)</f>
      </c>
      <c r="S17" s="468" t="str">
        <f>IF(OR(S15="",S16=""),"",S15*S16)</f>
      </c>
      <c r="T17" s="468" t="str">
        <f>IF(OR(T15="",T16=""),"",T15*T16)</f>
      </c>
      <c r="U17" s="468" t="str">
        <f>IF(OR(U15="",U16=""),"",U15*U16)</f>
      </c>
      <c r="V17" s="468" t="str">
        <f>IF(OR(V15="",V16=""),"",V15*V16)</f>
      </c>
      <c r="W17" s="468" t="str">
        <f>IF(OR(W15="",W16=""),"",W15*W16)</f>
      </c>
      <c r="X17" s="468" t="str">
        <f>IF(OR(X15="",X16=""),"",X15*X16)</f>
      </c>
      <c r="Y17" s="468" t="str">
        <f>IF(OR(Y15="",Y16=""),"",Y15*Y16)</f>
      </c>
      <c r="Z17" s="468" t="str">
        <f>IF(OR(Z15="",Z16=""),"",Z15*Z16)</f>
      </c>
      <c r="AA17" s="468" t="str">
        <f>IF(OR(AA15="",AA16=""),"",AA15*AA16)</f>
      </c>
      <c r="AB17" s="468" t="str">
        <f>IF(OR(AB15="",AB16=""),"",AB15*AB16)</f>
      </c>
      <c r="AC17" s="468" t="str">
        <f>IF(OR(AC15="",AC16=""),"",AC15*AC16)</f>
      </c>
      <c r="AD17" s="468" t="str">
        <f>IF(OR(AD15="",AD16=""),"",AD15*AD16)</f>
      </c>
      <c r="AE17" s="468" t="str">
        <f>IF(OR(AE15="",AE16=""),"",AE15*AE16)</f>
      </c>
      <c r="AF17" s="468" t="str">
        <f>IF(OR(AF15="",AF16=""),"",AF15*AF16)</f>
      </c>
      <c r="AG17" s="468" t="str">
        <f>IF(OR(AG15="",AG16=""),"",AG15*AG16)</f>
      </c>
      <c r="AH17" s="468" t="str">
        <f>IF(OR(AH15="",AH16=""),"",AH15*AH16)</f>
      </c>
      <c r="AI17" s="468" t="str">
        <f>IF(OR(AI15="",AI16=""),"",AI15*AI16)</f>
      </c>
      <c r="AJ17" s="468" t="str">
        <f>IF(OR(AJ15="",AJ16=""),"",AJ15*AJ16)</f>
      </c>
      <c r="AK17" s="468" t="str">
        <f>IF(OR(AK15="",AK16=""),"",AK15*AK16)</f>
      </c>
      <c r="AL17" s="468" t="str">
        <f>IF(OR(AL15="",AL16=""),"",AL15*AL16)</f>
      </c>
      <c r="AM17" s="468" t="str">
        <f>IF(OR(AM15="",AM16=""),"",AM15*AM16)</f>
      </c>
      <c r="AN17" s="468" t="str">
        <f>IF(OR(AN15="",AN16=""),"",AN15*AN16)</f>
      </c>
    </row>
    <row r="18" ht="19.277606964111328" hidden="1" customHeight="1">
      <c r="A18" s="93"/>
      <c r="B18" s="80" t="str">
        <v>ARPU bình quân</v>
      </c>
      <c r="C18" s="84"/>
      <c r="D18" s="82" t="str">
        <v>Input theo plan/tháng</v>
      </c>
      <c r="E18" s="470"/>
      <c r="F18" s="470"/>
      <c r="G18" s="470"/>
      <c r="H18" s="470"/>
      <c r="I18" s="470"/>
      <c r="J18" s="470"/>
      <c r="K18" s="470"/>
      <c r="L18" s="470"/>
      <c r="M18" s="470"/>
      <c r="N18" s="470"/>
      <c r="O18" s="470"/>
      <c r="P18" s="470"/>
      <c r="Q18" s="470"/>
      <c r="R18" s="470"/>
      <c r="S18" s="470"/>
      <c r="T18" s="470"/>
      <c r="U18" s="470"/>
      <c r="V18" s="470"/>
      <c r="W18" s="470"/>
      <c r="X18" s="470"/>
      <c r="Y18" s="470"/>
      <c r="Z18" s="470"/>
      <c r="AA18" s="470"/>
      <c r="AB18" s="470"/>
      <c r="AC18" s="470"/>
      <c r="AD18" s="470"/>
      <c r="AE18" s="470"/>
      <c r="AF18" s="470"/>
      <c r="AG18" s="470"/>
      <c r="AH18" s="470"/>
      <c r="AI18" s="470"/>
      <c r="AJ18" s="470"/>
      <c r="AK18" s="470"/>
      <c r="AL18" s="470"/>
      <c r="AM18" s="470"/>
      <c r="AN18" s="470"/>
    </row>
    <row r="19" ht="28.571428298950195" hidden="1" customHeight="1">
      <c r="A19" s="93"/>
      <c r="B19" s="80" t="str">
        <v>Doanh thu</v>
      </c>
      <c r="C19" s="84"/>
      <c r="D19" s="82" t="str">
        <v>Paid users × ARPU</v>
      </c>
      <c r="E19" s="471" t="str">
        <f>IF(OR(E17="",E18=""),"",E17*E18)</f>
      </c>
      <c r="F19" s="471" t="str">
        <f>IF(OR(F17="",F18=""),"",F17*F18)</f>
      </c>
      <c r="G19" s="471" t="str">
        <f>IF(OR(G17="",G18=""),"",G17*G18)</f>
      </c>
      <c r="H19" s="471" t="str">
        <f>IF(OR(H17="",H18=""),"",H17*H18)</f>
      </c>
      <c r="I19" s="471" t="str">
        <f>IF(OR(I17="",I18=""),"",I17*I18)</f>
      </c>
      <c r="J19" s="471" t="str">
        <f>IF(OR(J17="",J18=""),"",J17*J18)</f>
      </c>
      <c r="K19" s="471" t="str">
        <f>IF(OR(K17="",K18=""),"",K17*K18)</f>
      </c>
      <c r="L19" s="471" t="str">
        <f>IF(OR(L17="",L18=""),"",L17*L18)</f>
      </c>
      <c r="M19" s="471" t="str">
        <f>IF(OR(M17="",M18=""),"",M17*M18)</f>
      </c>
      <c r="N19" s="471" t="str">
        <f>IF(OR(N17="",N18=""),"",N17*N18)</f>
      </c>
      <c r="O19" s="471" t="str">
        <f>IF(OR(O17="",O18=""),"",O17*O18)</f>
      </c>
      <c r="P19" s="471" t="str">
        <f>IF(OR(P17="",P18=""),"",P17*P18)</f>
      </c>
      <c r="Q19" s="471" t="str">
        <f>IF(OR(Q17="",Q18=""),"",Q17*Q18)</f>
      </c>
      <c r="R19" s="471" t="str">
        <f>IF(OR(R17="",R18=""),"",R17*R18)</f>
      </c>
      <c r="S19" s="471" t="str">
        <f>IF(OR(S17="",S18=""),"",S17*S18)</f>
      </c>
      <c r="T19" s="471" t="str">
        <f>IF(OR(T17="",T18=""),"",T17*T18)</f>
      </c>
      <c r="U19" s="471" t="str">
        <f>IF(OR(U17="",U18=""),"",U17*U18)</f>
      </c>
      <c r="V19" s="471" t="str">
        <f>IF(OR(V17="",V18=""),"",V17*V18)</f>
      </c>
      <c r="W19" s="471" t="str">
        <f>IF(OR(W17="",W18=""),"",W17*W18)</f>
      </c>
      <c r="X19" s="471" t="str">
        <f>IF(OR(X17="",X18=""),"",X17*X18)</f>
      </c>
      <c r="Y19" s="471" t="str">
        <f>IF(OR(Y17="",Y18=""),"",Y17*Y18)</f>
      </c>
      <c r="Z19" s="471" t="str">
        <f>IF(OR(Z17="",Z18=""),"",Z17*Z18)</f>
      </c>
      <c r="AA19" s="471" t="str">
        <f>IF(OR(AA17="",AA18=""),"",AA17*AA18)</f>
      </c>
      <c r="AB19" s="471" t="str">
        <f>IF(OR(AB17="",AB18=""),"",AB17*AB18)</f>
      </c>
      <c r="AC19" s="471" t="str">
        <f>IF(OR(AC17="",AC18=""),"",AC17*AC18)</f>
      </c>
      <c r="AD19" s="471" t="str">
        <f>IF(OR(AD17="",AD18=""),"",AD17*AD18)</f>
      </c>
      <c r="AE19" s="471" t="str">
        <f>IF(OR(AE17="",AE18=""),"",AE17*AE18)</f>
      </c>
      <c r="AF19" s="471" t="str">
        <f>IF(OR(AF17="",AF18=""),"",AF17*AF18)</f>
      </c>
      <c r="AG19" s="471" t="str">
        <f>IF(OR(AG17="",AG18=""),"",AG17*AG18)</f>
      </c>
      <c r="AH19" s="471" t="str">
        <f>IF(OR(AH17="",AH18=""),"",AH17*AH18)</f>
      </c>
      <c r="AI19" s="471" t="str">
        <f>IF(OR(AI17="",AI18=""),"",AI17*AI18)</f>
      </c>
      <c r="AJ19" s="471" t="str">
        <f>IF(OR(AJ17="",AJ18=""),"",AJ17*AJ18)</f>
      </c>
      <c r="AK19" s="471" t="str">
        <f>IF(OR(AK17="",AK18=""),"",AK17*AK18)</f>
      </c>
      <c r="AL19" s="471" t="str">
        <f>IF(OR(AL17="",AL18=""),"",AL17*AL18)</f>
      </c>
      <c r="AM19" s="471" t="str">
        <f>IF(OR(AM17="",AM18=""),"",AM17*AM18)</f>
      </c>
      <c r="AN19" s="471" t="str">
        <f>IF(OR(AN17="",AN18=""),"",AN17*AN18)</f>
      </c>
    </row>
    <row r="20" hidden="1">
      <c r="A20" s="93"/>
      <c r="B20" s="80"/>
      <c r="C20" s="102"/>
      <c r="D20" s="82"/>
      <c r="E20" s="472"/>
      <c r="F20" s="472"/>
      <c r="G20" s="472"/>
      <c r="H20" s="472"/>
      <c r="I20" s="472"/>
      <c r="J20" s="472"/>
      <c r="K20" s="472"/>
      <c r="L20" s="472"/>
      <c r="M20" s="472"/>
      <c r="N20" s="472"/>
      <c r="O20" s="472"/>
      <c r="P20" s="472"/>
      <c r="Q20" s="472"/>
      <c r="R20" s="472"/>
      <c r="S20" s="472"/>
      <c r="T20" s="472"/>
      <c r="U20" s="472"/>
      <c r="V20" s="472"/>
      <c r="W20" s="472"/>
      <c r="X20" s="472"/>
      <c r="Y20" s="472"/>
      <c r="Z20" s="472"/>
      <c r="AA20" s="472"/>
      <c r="AB20" s="472"/>
      <c r="AC20" s="472"/>
      <c r="AD20" s="472"/>
      <c r="AE20" s="472"/>
      <c r="AF20" s="472"/>
      <c r="AG20" s="472"/>
      <c r="AH20" s="472"/>
      <c r="AI20" s="472"/>
      <c r="AJ20" s="472"/>
      <c r="AK20" s="472"/>
      <c r="AL20" s="472"/>
      <c r="AM20" s="472"/>
      <c r="AN20" s="472"/>
    </row>
    <row r="21">
      <c r="A21" s="55" t="n">
        <v>2</v>
      </c>
      <c r="B21" s="75" t="str">
        <v>Tổng chi phí</v>
      </c>
      <c r="C21" s="104"/>
      <c r="D21" s="105"/>
      <c r="E21" s="473"/>
      <c r="F21" s="473"/>
      <c r="G21" s="473"/>
      <c r="H21" s="473"/>
      <c r="I21" s="473"/>
      <c r="J21" s="473"/>
      <c r="K21" s="473"/>
      <c r="L21" s="473"/>
      <c r="M21" s="473"/>
      <c r="N21" s="473"/>
      <c r="O21" s="473"/>
      <c r="P21" s="473"/>
      <c r="Q21" s="473"/>
      <c r="R21" s="473"/>
      <c r="S21" s="473"/>
      <c r="T21" s="473"/>
      <c r="U21" s="473"/>
      <c r="V21" s="473"/>
      <c r="W21" s="473"/>
      <c r="X21" s="473"/>
      <c r="Y21" s="473"/>
      <c r="Z21" s="473"/>
      <c r="AA21" s="473"/>
      <c r="AB21" s="473"/>
      <c r="AC21" s="473"/>
      <c r="AD21" s="473"/>
      <c r="AE21" s="473"/>
      <c r="AF21" s="473"/>
      <c r="AG21" s="473"/>
      <c r="AH21" s="473"/>
      <c r="AI21" s="473"/>
      <c r="AJ21" s="473"/>
      <c r="AK21" s="473"/>
      <c r="AL21" s="473"/>
      <c r="AM21" s="473"/>
      <c r="AN21" s="473"/>
    </row>
    <row r="22">
      <c r="A22" s="107" t="n">
        <v>2.1</v>
      </c>
      <c r="B22" s="80" t="str">
        <v>Marketing spend</v>
      </c>
      <c r="C22" s="108"/>
      <c r="D22" s="82" t="str">
        <v>Paid media, content, community và outbound</v>
      </c>
      <c r="E22" s="463"/>
      <c r="F22" s="463"/>
      <c r="G22" s="463"/>
      <c r="H22" s="463"/>
      <c r="I22" s="463"/>
      <c r="J22" s="463"/>
      <c r="K22" s="463"/>
      <c r="L22" s="463"/>
      <c r="M22" s="463"/>
      <c r="N22" s="463"/>
      <c r="O22" s="463"/>
      <c r="P22" s="463"/>
      <c r="Q22" s="463"/>
      <c r="R22" s="463"/>
      <c r="S22" s="463"/>
      <c r="T22" s="463"/>
      <c r="U22" s="463"/>
      <c r="V22" s="463"/>
      <c r="W22" s="463"/>
      <c r="X22" s="463"/>
      <c r="Y22" s="463"/>
      <c r="Z22" s="463"/>
      <c r="AA22" s="463"/>
      <c r="AB22" s="463"/>
      <c r="AC22" s="463"/>
      <c r="AD22" s="463"/>
      <c r="AE22" s="463"/>
      <c r="AF22" s="463"/>
      <c r="AG22" s="463"/>
      <c r="AH22" s="463"/>
      <c r="AI22" s="463"/>
      <c r="AJ22" s="463"/>
      <c r="AK22" s="463"/>
      <c r="AL22" s="463"/>
      <c r="AM22" s="463"/>
      <c r="AN22" s="463"/>
    </row>
    <row r="23" ht="16.66666603088379" customHeight="1">
      <c r="A23" s="107"/>
      <c r="B23" s="110"/>
      <c r="C23" s="111"/>
      <c r="D23" s="82"/>
      <c r="E23" s="463"/>
      <c r="F23" s="463"/>
      <c r="G23" s="463"/>
      <c r="H23" s="463"/>
      <c r="I23" s="463"/>
      <c r="J23" s="463"/>
      <c r="K23" s="463"/>
      <c r="L23" s="463"/>
      <c r="M23" s="463"/>
      <c r="N23" s="463"/>
      <c r="O23" s="463"/>
      <c r="P23" s="463"/>
      <c r="Q23" s="463"/>
      <c r="R23" s="463"/>
      <c r="S23" s="463"/>
      <c r="T23" s="463"/>
      <c r="U23" s="463"/>
      <c r="V23" s="463"/>
      <c r="W23" s="463"/>
      <c r="X23" s="463"/>
      <c r="Y23" s="463"/>
      <c r="Z23" s="463"/>
      <c r="AA23" s="463"/>
      <c r="AB23" s="463"/>
      <c r="AC23" s="463"/>
      <c r="AD23" s="463"/>
      <c r="AE23" s="463"/>
      <c r="AF23" s="463"/>
      <c r="AG23" s="463"/>
      <c r="AH23" s="463"/>
      <c r="AI23" s="463"/>
      <c r="AJ23" s="463"/>
      <c r="AK23" s="463"/>
      <c r="AL23" s="463"/>
      <c r="AM23" s="463"/>
      <c r="AN23" s="463"/>
    </row>
    <row r="24">
      <c r="A24" s="107" t="n">
        <v>2.2</v>
      </c>
      <c r="B24" s="87" t="str">
        <v>Payroll</v>
      </c>
      <c r="C24" s="108"/>
      <c r="D24" s="82" t="str">
        <v>Lương, BHXH và thưởng</v>
      </c>
      <c r="E24" s="463"/>
      <c r="F24" s="463"/>
      <c r="G24" s="463"/>
      <c r="H24" s="463"/>
      <c r="I24" s="463"/>
      <c r="J24" s="463"/>
      <c r="K24" s="463"/>
      <c r="L24" s="463"/>
      <c r="M24" s="463"/>
      <c r="N24" s="463"/>
      <c r="O24" s="463"/>
      <c r="P24" s="463"/>
      <c r="Q24" s="463"/>
      <c r="R24" s="463"/>
      <c r="S24" s="463"/>
      <c r="T24" s="463"/>
      <c r="U24" s="463"/>
      <c r="V24" s="463"/>
      <c r="W24" s="463"/>
      <c r="X24" s="463"/>
      <c r="Y24" s="463"/>
      <c r="Z24" s="463"/>
      <c r="AA24" s="463"/>
      <c r="AB24" s="463"/>
      <c r="AC24" s="463"/>
      <c r="AD24" s="463"/>
      <c r="AE24" s="463"/>
      <c r="AF24" s="463"/>
      <c r="AG24" s="463"/>
      <c r="AH24" s="463"/>
      <c r="AI24" s="463"/>
      <c r="AJ24" s="463"/>
      <c r="AK24" s="463"/>
      <c r="AL24" s="463"/>
      <c r="AM24" s="463"/>
      <c r="AN24" s="463"/>
    </row>
    <row r="25" ht="16.66666603088379" customHeight="1">
      <c r="A25" s="107"/>
      <c r="B25" s="113"/>
      <c r="C25" s="111"/>
      <c r="D25" s="114"/>
      <c r="E25" s="474"/>
      <c r="F25" s="474"/>
      <c r="G25" s="470"/>
      <c r="H25" s="474"/>
      <c r="I25" s="474"/>
      <c r="J25" s="470"/>
      <c r="K25" s="474"/>
      <c r="L25" s="474"/>
      <c r="M25" s="470"/>
      <c r="N25" s="474"/>
      <c r="O25" s="474"/>
      <c r="P25" s="470"/>
      <c r="Q25" s="465"/>
      <c r="R25" s="465"/>
      <c r="S25" s="470"/>
      <c r="T25" s="474"/>
      <c r="U25" s="474"/>
      <c r="V25" s="470"/>
      <c r="W25" s="474"/>
      <c r="X25" s="474"/>
      <c r="Y25" s="470"/>
      <c r="Z25" s="465"/>
      <c r="AA25" s="465"/>
      <c r="AB25" s="470"/>
      <c r="AC25" s="474"/>
      <c r="AD25" s="474"/>
      <c r="AE25" s="470"/>
      <c r="AF25" s="474"/>
      <c r="AG25" s="474"/>
      <c r="AH25" s="470"/>
      <c r="AI25" s="465"/>
      <c r="AJ25" s="465"/>
      <c r="AK25" s="470"/>
      <c r="AL25" s="474"/>
      <c r="AM25" s="474"/>
      <c r="AN25" s="470"/>
    </row>
    <row r="26" ht="14.299251556396484" customHeight="1">
      <c r="A26" s="107" t="n">
        <v>2.3</v>
      </c>
      <c r="B26" s="87" t="str">
        <v>Infrastructure / tools</v>
      </c>
      <c r="C26" s="108"/>
      <c r="D26" s="82" t="str">
        <v>Hosting, tooling, analytics và support</v>
      </c>
      <c r="E26" s="463"/>
      <c r="F26" s="463"/>
      <c r="G26" s="463"/>
      <c r="H26" s="463"/>
      <c r="I26" s="463"/>
      <c r="J26" s="463"/>
      <c r="K26" s="463"/>
      <c r="L26" s="463"/>
      <c r="M26" s="463"/>
      <c r="N26" s="463"/>
      <c r="O26" s="463"/>
      <c r="P26" s="463"/>
      <c r="Q26" s="463"/>
      <c r="R26" s="463"/>
      <c r="S26" s="463"/>
      <c r="T26" s="463"/>
      <c r="U26" s="463"/>
      <c r="V26" s="463"/>
      <c r="W26" s="463"/>
      <c r="X26" s="463"/>
      <c r="Y26" s="463"/>
      <c r="Z26" s="463"/>
      <c r="AA26" s="463"/>
      <c r="AB26" s="463"/>
      <c r="AC26" s="463"/>
      <c r="AD26" s="463"/>
      <c r="AE26" s="463"/>
      <c r="AF26" s="463"/>
      <c r="AG26" s="463"/>
      <c r="AH26" s="463"/>
      <c r="AI26" s="463"/>
      <c r="AJ26" s="463"/>
      <c r="AK26" s="463"/>
      <c r="AL26" s="463"/>
      <c r="AM26" s="463"/>
      <c r="AN26" s="463"/>
    </row>
    <row r="27" ht="16.66666603088379" customHeight="1">
      <c r="A27" s="107"/>
      <c r="B27" s="113"/>
      <c r="C27" s="111"/>
      <c r="D27" s="114"/>
      <c r="E27" s="474"/>
      <c r="F27" s="474"/>
      <c r="G27" s="470"/>
      <c r="H27" s="474"/>
      <c r="I27" s="474"/>
      <c r="J27" s="470"/>
      <c r="K27" s="474"/>
      <c r="L27" s="474"/>
      <c r="M27" s="470"/>
      <c r="N27" s="474"/>
      <c r="O27" s="474"/>
      <c r="P27" s="470"/>
      <c r="Q27" s="465"/>
      <c r="R27" s="465"/>
      <c r="S27" s="470"/>
      <c r="T27" s="474"/>
      <c r="U27" s="474"/>
      <c r="V27" s="470"/>
      <c r="W27" s="474"/>
      <c r="X27" s="474"/>
      <c r="Y27" s="470"/>
      <c r="Z27" s="465"/>
      <c r="AA27" s="465"/>
      <c r="AB27" s="470"/>
      <c r="AC27" s="474"/>
      <c r="AD27" s="474"/>
      <c r="AE27" s="470"/>
      <c r="AF27" s="474"/>
      <c r="AG27" s="474"/>
      <c r="AH27" s="470"/>
      <c r="AI27" s="465"/>
      <c r="AJ27" s="465"/>
      <c r="AK27" s="470"/>
      <c r="AL27" s="474"/>
      <c r="AM27" s="474"/>
      <c r="AN27" s="470"/>
    </row>
    <row r="28" ht="26.799251556396484" customHeight="1">
      <c r="A28" s="107" t="n">
        <v>2.4</v>
      </c>
      <c r="B28" s="87" t="str">
        <v>Sales &amp; customer support</v>
      </c>
      <c r="C28" s="108"/>
      <c r="D28" s="82" t="str">
        <v>CRM, support và vận hành khách hàng</v>
      </c>
      <c r="E28" s="463"/>
      <c r="F28" s="463"/>
      <c r="G28" s="463"/>
      <c r="H28" s="463"/>
      <c r="I28" s="463"/>
      <c r="J28" s="463"/>
      <c r="K28" s="463"/>
      <c r="L28" s="463"/>
      <c r="M28" s="463"/>
      <c r="N28" s="463"/>
      <c r="O28" s="463"/>
      <c r="P28" s="463"/>
      <c r="Q28" s="463"/>
      <c r="R28" s="463"/>
      <c r="S28" s="463"/>
      <c r="T28" s="463"/>
      <c r="U28" s="463"/>
      <c r="V28" s="463"/>
      <c r="W28" s="463"/>
      <c r="X28" s="463"/>
      <c r="Y28" s="463"/>
      <c r="Z28" s="463"/>
      <c r="AA28" s="463"/>
      <c r="AB28" s="463"/>
      <c r="AC28" s="463"/>
      <c r="AD28" s="463"/>
      <c r="AE28" s="463"/>
      <c r="AF28" s="463"/>
      <c r="AG28" s="463"/>
      <c r="AH28" s="463"/>
      <c r="AI28" s="463"/>
      <c r="AJ28" s="463"/>
      <c r="AK28" s="463"/>
      <c r="AL28" s="463"/>
      <c r="AM28" s="463"/>
      <c r="AN28" s="463"/>
    </row>
    <row r="29" ht="27.394489288330078" customHeight="1">
      <c r="A29" s="107"/>
      <c r="B29" s="113"/>
      <c r="C29" s="111"/>
      <c r="D29" s="82"/>
      <c r="E29" s="474"/>
      <c r="F29" s="474"/>
      <c r="G29" s="470"/>
      <c r="H29" s="474"/>
      <c r="I29" s="474"/>
      <c r="J29" s="470"/>
      <c r="K29" s="474"/>
      <c r="L29" s="474"/>
      <c r="M29" s="470"/>
      <c r="N29" s="474"/>
      <c r="O29" s="474"/>
      <c r="P29" s="470"/>
      <c r="Q29" s="465"/>
      <c r="R29" s="465"/>
      <c r="S29" s="470"/>
      <c r="T29" s="474"/>
      <c r="U29" s="474"/>
      <c r="V29" s="470"/>
      <c r="W29" s="474"/>
      <c r="X29" s="474"/>
      <c r="Y29" s="470"/>
      <c r="Z29" s="465"/>
      <c r="AA29" s="465"/>
      <c r="AB29" s="470"/>
      <c r="AC29" s="474"/>
      <c r="AD29" s="474"/>
      <c r="AE29" s="470"/>
      <c r="AF29" s="474"/>
      <c r="AG29" s="474"/>
      <c r="AH29" s="470"/>
      <c r="AI29" s="465"/>
      <c r="AJ29" s="465"/>
      <c r="AK29" s="470"/>
      <c r="AL29" s="474"/>
      <c r="AM29" s="474"/>
      <c r="AN29" s="470"/>
    </row>
    <row r="30" ht="27.394489288330078" customHeight="1">
      <c r="A30" s="107" t="n">
        <v>2.5</v>
      </c>
      <c r="B30" s="87" t="str">
        <v>Chi phí khác</v>
      </c>
      <c r="C30" s="108"/>
      <c r="D30" s="82" t="str">
        <v>Legal, office, contractor và dự phòng</v>
      </c>
      <c r="E30" s="463"/>
      <c r="F30" s="463"/>
      <c r="G30" s="463"/>
      <c r="H30" s="463"/>
      <c r="I30" s="463"/>
      <c r="J30" s="463"/>
      <c r="K30" s="463"/>
      <c r="L30" s="463"/>
      <c r="M30" s="463"/>
      <c r="N30" s="463"/>
      <c r="O30" s="463"/>
      <c r="P30" s="463"/>
      <c r="Q30" s="463"/>
      <c r="R30" s="463"/>
      <c r="S30" s="463"/>
      <c r="T30" s="463"/>
      <c r="U30" s="463"/>
      <c r="V30" s="463"/>
      <c r="W30" s="463"/>
      <c r="X30" s="463"/>
      <c r="Y30" s="463"/>
      <c r="Z30" s="463"/>
      <c r="AA30" s="463"/>
      <c r="AB30" s="463"/>
      <c r="AC30" s="463"/>
      <c r="AD30" s="463"/>
      <c r="AE30" s="463"/>
      <c r="AF30" s="463"/>
      <c r="AG30" s="463"/>
      <c r="AH30" s="463"/>
      <c r="AI30" s="463"/>
      <c r="AJ30" s="463"/>
      <c r="AK30" s="463"/>
      <c r="AL30" s="463"/>
      <c r="AM30" s="463"/>
      <c r="AN30" s="463"/>
    </row>
    <row r="31" ht="24.418298721313477" customHeight="1">
      <c r="A31" s="118"/>
      <c r="B31" s="113"/>
      <c r="C31" s="111"/>
      <c r="D31" s="82"/>
      <c r="E31" s="475"/>
      <c r="F31" s="475"/>
      <c r="G31" s="476"/>
      <c r="H31" s="475"/>
      <c r="I31" s="475"/>
      <c r="J31" s="476"/>
      <c r="K31" s="475"/>
      <c r="L31" s="475"/>
      <c r="M31" s="476"/>
      <c r="N31" s="475"/>
      <c r="O31" s="475"/>
      <c r="P31" s="476"/>
      <c r="Q31" s="477"/>
      <c r="R31" s="477"/>
      <c r="S31" s="476"/>
      <c r="T31" s="475"/>
      <c r="U31" s="475"/>
      <c r="V31" s="476"/>
      <c r="W31" s="475"/>
      <c r="X31" s="475"/>
      <c r="Y31" s="476"/>
      <c r="Z31" s="475"/>
      <c r="AA31" s="475"/>
      <c r="AB31" s="476"/>
      <c r="AC31" s="475"/>
      <c r="AD31" s="475"/>
      <c r="AE31" s="476"/>
      <c r="AF31" s="475"/>
      <c r="AG31" s="475"/>
      <c r="AH31" s="476"/>
      <c r="AI31" s="477"/>
      <c r="AJ31" s="477"/>
      <c r="AK31" s="476"/>
      <c r="AL31" s="475"/>
      <c r="AM31" s="475"/>
      <c r="AN31" s="476"/>
    </row>
    <row r="32" ht="24.418298721313477" customHeight="1">
      <c r="A32" s="107"/>
      <c r="B32" s="86" t="str">
        <v>Tổng chi phí vận hành</v>
      </c>
      <c r="C32" s="108"/>
      <c r="D32" s="82" t="str">
        <v>Tổng các khoản chi phí</v>
      </c>
      <c r="E32" s="478" t="str">
        <f>IF(COUNT(E22,E24,E26,E28,E30)=0,"",SUM(E22,E24,E26,E28,E30))</f>
      </c>
      <c r="F32" s="478" t="str">
        <f>IF(COUNT(F22,F24,F26,F28,F30)=0,"",SUM(F22,F24,F26,F28,F30))</f>
      </c>
      <c r="G32" s="478" t="str">
        <f>IF(COUNT(G22,G24,G26,G28,G30)=0,"",SUM(G22,G24,G26,G28,G30))</f>
      </c>
      <c r="H32" s="478" t="str">
        <f>IF(COUNT(H22,H24,H26,H28,H30)=0,"",SUM(H22,H24,H26,H28,H30))</f>
      </c>
      <c r="I32" s="478" t="str">
        <f>IF(COUNT(I22,I24,I26,I28,I30)=0,"",SUM(I22,I24,I26,I28,I30))</f>
      </c>
      <c r="J32" s="478" t="str">
        <f>IF(COUNT(J22,J24,J26,J28,J30)=0,"",SUM(J22,J24,J26,J28,J30))</f>
      </c>
      <c r="K32" s="478" t="str">
        <f>IF(COUNT(K22,K24,K26,K28,K30)=0,"",SUM(K22,K24,K26,K28,K30))</f>
      </c>
      <c r="L32" s="478" t="str">
        <f>IF(COUNT(L22,L24,L26,L28,L30)=0,"",SUM(L22,L24,L26,L28,L30))</f>
      </c>
      <c r="M32" s="478" t="str">
        <f>IF(COUNT(M22,M24,M26,M28,M30)=0,"",SUM(M22,M24,M26,M28,M30))</f>
      </c>
      <c r="N32" s="478" t="str">
        <f>IF(COUNT(N22,N24,N26,N28,N30)=0,"",SUM(N22,N24,N26,N28,N30))</f>
      </c>
      <c r="O32" s="478" t="str">
        <f>IF(COUNT(O22,O24,O26,O28,O30)=0,"",SUM(O22,O24,O26,O28,O30))</f>
      </c>
      <c r="P32" s="478" t="str">
        <f>IF(COUNT(P22,P24,P26,P28,P30)=0,"",SUM(P22,P24,P26,P28,P30))</f>
      </c>
      <c r="Q32" s="478" t="str">
        <f>IF(COUNT(Q22,Q24,Q26,Q28,Q30)=0,"",SUM(Q22,Q24,Q26,Q28,Q30))</f>
      </c>
      <c r="R32" s="478" t="str">
        <f>IF(COUNT(R22,R24,R26,R28,R30)=0,"",SUM(R22,R24,R26,R28,R30))</f>
      </c>
      <c r="S32" s="478" t="str">
        <f>IF(COUNT(S22,S24,S26,S28,S30)=0,"",SUM(S22,S24,S26,S28,S30))</f>
      </c>
      <c r="T32" s="478" t="str">
        <f>IF(COUNT(T22,T24,T26,T28,T30)=0,"",SUM(T22,T24,T26,T28,T30))</f>
      </c>
      <c r="U32" s="478" t="str">
        <f>IF(COUNT(U22,U24,U26,U28,U30)=0,"",SUM(U22,U24,U26,U28,U30))</f>
      </c>
      <c r="V32" s="478" t="str">
        <f>IF(COUNT(V22,V24,V26,V28,V30)=0,"",SUM(V22,V24,V26,V28,V30))</f>
      </c>
      <c r="W32" s="478" t="str">
        <f>IF(COUNT(W22,W24,W26,W28,W30)=0,"",SUM(W22,W24,W26,W28,W30))</f>
      </c>
      <c r="X32" s="478" t="str">
        <f>IF(COUNT(X22,X24,X26,X28,X30)=0,"",SUM(X22,X24,X26,X28,X30))</f>
      </c>
      <c r="Y32" s="478" t="str">
        <f>IF(COUNT(Y22,Y24,Y26,Y28,Y30)=0,"",SUM(Y22,Y24,Y26,Y28,Y30))</f>
      </c>
      <c r="Z32" s="478" t="str">
        <f>IF(COUNT(Z22,Z24,Z26,Z28,Z30)=0,"",SUM(Z22,Z24,Z26,Z28,Z30))</f>
      </c>
      <c r="AA32" s="478" t="str">
        <f>IF(COUNT(AA22,AA24,AA26,AA28,AA30)=0,"",SUM(AA22,AA24,AA26,AA28,AA30))</f>
      </c>
      <c r="AB32" s="478" t="str">
        <f>IF(COUNT(AB22,AB24,AB26,AB28,AB30)=0,"",SUM(AB22,AB24,AB26,AB28,AB30))</f>
      </c>
      <c r="AC32" s="478" t="str">
        <f>IF(COUNT(AC22,AC24,AC26,AC28,AC30)=0,"",SUM(AC22,AC24,AC26,AC28,AC30))</f>
      </c>
      <c r="AD32" s="478" t="str">
        <f>IF(COUNT(AD22,AD24,AD26,AD28,AD30)=0,"",SUM(AD22,AD24,AD26,AD28,AD30))</f>
      </c>
      <c r="AE32" s="478" t="str">
        <f>IF(COUNT(AE22,AE24,AE26,AE28,AE30)=0,"",SUM(AE22,AE24,AE26,AE28,AE30))</f>
      </c>
      <c r="AF32" s="478" t="str">
        <f>IF(COUNT(AF22,AF24,AF26,AF28,AF30)=0,"",SUM(AF22,AF24,AF26,AF28,AF30))</f>
      </c>
      <c r="AG32" s="478" t="str">
        <f>IF(COUNT(AG22,AG24,AG26,AG28,AG30)=0,"",SUM(AG22,AG24,AG26,AG28,AG30))</f>
      </c>
      <c r="AH32" s="478" t="str">
        <f>IF(COUNT(AH22,AH24,AH26,AH28,AH30)=0,"",SUM(AH22,AH24,AH26,AH28,AH30))</f>
      </c>
      <c r="AI32" s="478" t="str">
        <f>IF(COUNT(AI22,AI24,AI26,AI28,AI30)=0,"",SUM(AI22,AI24,AI26,AI28,AI30))</f>
      </c>
      <c r="AJ32" s="478" t="str">
        <f>IF(COUNT(AJ22,AJ24,AJ26,AJ28,AJ30)=0,"",SUM(AJ22,AJ24,AJ26,AJ28,AJ30))</f>
      </c>
      <c r="AK32" s="478" t="str">
        <f>IF(COUNT(AK22,AK24,AK26,AK28,AK30)=0,"",SUM(AK22,AK24,AK26,AK28,AK30))</f>
      </c>
      <c r="AL32" s="478" t="str">
        <f>IF(COUNT(AL22,AL24,AL26,AL28,AL30)=0,"",SUM(AL22,AL24,AL26,AL28,AL30))</f>
      </c>
      <c r="AM32" s="478" t="str">
        <f>IF(COUNT(AM22,AM24,AM26,AM28,AM30)=0,"",SUM(AM22,AM24,AM26,AM28,AM30))</f>
      </c>
      <c r="AN32" s="478" t="str">
        <f>IF(COUNT(AN22,AN24,AN26,AN28,AN30)=0,"",SUM(AN22,AN24,AN26,AN28,AN30))</f>
      </c>
    </row>
    <row r="33" ht="16.66666603088379" customHeight="1">
      <c r="A33" s="118"/>
      <c r="B33" s="119"/>
      <c r="C33" s="111"/>
      <c r="D33" s="82"/>
      <c r="E33" s="475"/>
      <c r="F33" s="475"/>
      <c r="G33" s="476"/>
      <c r="H33" s="475"/>
      <c r="I33" s="475"/>
      <c r="J33" s="476"/>
      <c r="K33" s="475"/>
      <c r="L33" s="475"/>
      <c r="M33" s="476"/>
      <c r="N33" s="475"/>
      <c r="O33" s="475"/>
      <c r="P33" s="476"/>
      <c r="Q33" s="477"/>
      <c r="R33" s="477"/>
      <c r="S33" s="476"/>
      <c r="T33" s="475"/>
      <c r="U33" s="475"/>
      <c r="V33" s="476"/>
      <c r="W33" s="475"/>
      <c r="X33" s="475"/>
      <c r="Y33" s="476"/>
      <c r="Z33" s="477"/>
      <c r="AA33" s="477"/>
      <c r="AB33" s="476"/>
      <c r="AC33" s="475"/>
      <c r="AD33" s="475"/>
      <c r="AE33" s="476"/>
      <c r="AF33" s="475"/>
      <c r="AG33" s="475"/>
      <c r="AH33" s="476"/>
      <c r="AI33" s="477"/>
      <c r="AJ33" s="477"/>
      <c r="AK33" s="476"/>
      <c r="AL33" s="475"/>
      <c r="AM33" s="475"/>
      <c r="AN33" s="476"/>
    </row>
    <row r="34">
      <c r="A34" s="107"/>
      <c r="B34" s="120"/>
      <c r="C34" s="108"/>
      <c r="D34" s="82"/>
      <c r="E34" s="478"/>
      <c r="F34" s="478"/>
      <c r="G34" s="478"/>
      <c r="H34" s="478"/>
      <c r="I34" s="478"/>
      <c r="J34" s="478"/>
      <c r="K34" s="478"/>
      <c r="L34" s="478"/>
      <c r="M34" s="478"/>
      <c r="N34" s="478"/>
      <c r="O34" s="478"/>
      <c r="P34" s="478"/>
      <c r="Q34" s="478"/>
      <c r="R34" s="478"/>
      <c r="S34" s="478"/>
      <c r="T34" s="478"/>
      <c r="U34" s="478"/>
      <c r="V34" s="478"/>
      <c r="W34" s="478"/>
      <c r="X34" s="478"/>
      <c r="Y34" s="478"/>
      <c r="Z34" s="478"/>
      <c r="AA34" s="478"/>
      <c r="AB34" s="478"/>
      <c r="AC34" s="478"/>
      <c r="AD34" s="478"/>
      <c r="AE34" s="478"/>
      <c r="AF34" s="478"/>
      <c r="AG34" s="478"/>
      <c r="AH34" s="478"/>
      <c r="AI34" s="478"/>
      <c r="AJ34" s="478"/>
      <c r="AK34" s="478"/>
      <c r="AL34" s="478"/>
      <c r="AM34" s="478"/>
      <c r="AN34" s="478"/>
    </row>
    <row r="35" ht="16.66666603088379" customHeight="1">
      <c r="A35" s="118"/>
      <c r="B35" s="113"/>
      <c r="C35" s="111"/>
      <c r="D35" s="82"/>
      <c r="E35" s="479"/>
      <c r="F35" s="479"/>
      <c r="G35" s="479"/>
      <c r="H35" s="479"/>
      <c r="I35" s="479"/>
      <c r="J35" s="479"/>
      <c r="K35" s="479"/>
      <c r="L35" s="479"/>
      <c r="M35" s="479"/>
      <c r="N35" s="479"/>
      <c r="O35" s="479"/>
      <c r="P35" s="479"/>
      <c r="Q35" s="479"/>
      <c r="R35" s="479"/>
      <c r="S35" s="479"/>
      <c r="T35" s="479"/>
      <c r="U35" s="479"/>
      <c r="V35" s="479"/>
      <c r="W35" s="479"/>
      <c r="X35" s="479"/>
      <c r="Y35" s="479"/>
      <c r="Z35" s="479"/>
      <c r="AA35" s="479"/>
      <c r="AB35" s="479"/>
      <c r="AC35" s="479"/>
      <c r="AD35" s="479"/>
      <c r="AE35" s="479"/>
      <c r="AF35" s="479"/>
      <c r="AG35" s="479"/>
      <c r="AH35" s="479"/>
      <c r="AI35" s="479"/>
      <c r="AJ35" s="479"/>
      <c r="AK35" s="479"/>
      <c r="AL35" s="479"/>
      <c r="AM35" s="479"/>
      <c r="AN35" s="479"/>
    </row>
    <row r="36">
      <c r="A36" s="55"/>
      <c r="B36" s="120"/>
      <c r="C36" s="108"/>
      <c r="D36" s="82"/>
      <c r="E36" s="478"/>
      <c r="F36" s="478"/>
      <c r="G36" s="478"/>
      <c r="H36" s="478"/>
      <c r="I36" s="478"/>
      <c r="J36" s="478"/>
      <c r="K36" s="478"/>
      <c r="L36" s="478"/>
      <c r="M36" s="478"/>
      <c r="N36" s="478"/>
      <c r="O36" s="478"/>
      <c r="P36" s="478"/>
      <c r="Q36" s="478"/>
      <c r="R36" s="478"/>
      <c r="S36" s="478"/>
      <c r="T36" s="478"/>
      <c r="U36" s="478"/>
      <c r="V36" s="478"/>
      <c r="W36" s="478"/>
      <c r="X36" s="478"/>
      <c r="Y36" s="478"/>
      <c r="Z36" s="478"/>
      <c r="AA36" s="478"/>
      <c r="AB36" s="478"/>
      <c r="AC36" s="478"/>
      <c r="AD36" s="478"/>
      <c r="AE36" s="478"/>
      <c r="AF36" s="478"/>
      <c r="AG36" s="478"/>
      <c r="AH36" s="478"/>
      <c r="AI36" s="478"/>
      <c r="AJ36" s="478"/>
      <c r="AK36" s="478"/>
      <c r="AL36" s="478"/>
      <c r="AM36" s="478"/>
      <c r="AN36" s="478"/>
    </row>
    <row r="37" ht="16.66666603088379" customHeight="1">
      <c r="A37" s="93"/>
      <c r="B37" s="113"/>
      <c r="C37" s="111"/>
      <c r="D37" s="82"/>
      <c r="E37" s="479"/>
      <c r="F37" s="479"/>
      <c r="G37" s="479"/>
      <c r="H37" s="479"/>
      <c r="I37" s="479"/>
      <c r="J37" s="479"/>
      <c r="K37" s="479"/>
      <c r="L37" s="479"/>
      <c r="M37" s="479"/>
      <c r="N37" s="479"/>
      <c r="O37" s="479"/>
      <c r="P37" s="479"/>
      <c r="Q37" s="479"/>
      <c r="R37" s="479"/>
      <c r="S37" s="479"/>
      <c r="T37" s="479"/>
      <c r="U37" s="479"/>
      <c r="V37" s="479"/>
      <c r="W37" s="479"/>
      <c r="X37" s="479"/>
      <c r="Y37" s="479"/>
      <c r="Z37" s="479"/>
      <c r="AA37" s="479"/>
      <c r="AB37" s="479"/>
      <c r="AC37" s="479"/>
      <c r="AD37" s="479"/>
      <c r="AE37" s="479"/>
      <c r="AF37" s="479"/>
      <c r="AG37" s="479"/>
      <c r="AH37" s="479"/>
      <c r="AI37" s="479"/>
      <c r="AJ37" s="479"/>
      <c r="AK37" s="479"/>
      <c r="AL37" s="479"/>
      <c r="AM37" s="479"/>
      <c r="AN37" s="479"/>
    </row>
    <row r="38">
      <c r="A38" s="55"/>
      <c r="B38" s="121"/>
      <c r="C38" s="108"/>
      <c r="D38" s="122"/>
      <c r="E38" s="478"/>
      <c r="F38" s="478"/>
      <c r="G38" s="478"/>
      <c r="H38" s="478"/>
      <c r="I38" s="478"/>
      <c r="J38" s="478"/>
      <c r="K38" s="478"/>
      <c r="L38" s="478"/>
      <c r="M38" s="478"/>
      <c r="N38" s="478"/>
      <c r="O38" s="478"/>
      <c r="P38" s="478"/>
      <c r="Q38" s="478"/>
      <c r="R38" s="478"/>
      <c r="S38" s="478"/>
      <c r="T38" s="478"/>
      <c r="U38" s="478"/>
      <c r="V38" s="478"/>
      <c r="W38" s="478"/>
      <c r="X38" s="478"/>
      <c r="Y38" s="478"/>
      <c r="Z38" s="478"/>
      <c r="AA38" s="478"/>
      <c r="AB38" s="478"/>
      <c r="AC38" s="478"/>
      <c r="AD38" s="478"/>
      <c r="AE38" s="478"/>
      <c r="AF38" s="478"/>
      <c r="AG38" s="478"/>
      <c r="AH38" s="478"/>
      <c r="AI38" s="478"/>
      <c r="AJ38" s="478"/>
      <c r="AK38" s="478"/>
      <c r="AL38" s="478"/>
      <c r="AM38" s="478"/>
      <c r="AN38" s="478"/>
    </row>
    <row r="39" ht="16.66666603088379" customHeight="1">
      <c r="A39" s="93"/>
      <c r="B39" s="123"/>
      <c r="C39" s="111"/>
      <c r="D39" s="122"/>
      <c r="E39" s="479"/>
      <c r="F39" s="479"/>
      <c r="G39" s="479"/>
      <c r="H39" s="479"/>
      <c r="I39" s="479"/>
      <c r="J39" s="479"/>
      <c r="K39" s="479"/>
      <c r="L39" s="479"/>
      <c r="M39" s="479"/>
      <c r="N39" s="479"/>
      <c r="O39" s="479"/>
      <c r="P39" s="479"/>
      <c r="Q39" s="479"/>
      <c r="R39" s="479"/>
      <c r="S39" s="479"/>
      <c r="T39" s="479"/>
      <c r="U39" s="479"/>
      <c r="V39" s="479"/>
      <c r="W39" s="479"/>
      <c r="X39" s="479"/>
      <c r="Y39" s="479"/>
      <c r="Z39" s="479"/>
      <c r="AA39" s="479"/>
      <c r="AB39" s="479"/>
      <c r="AC39" s="479"/>
      <c r="AD39" s="479"/>
      <c r="AE39" s="479"/>
      <c r="AF39" s="479"/>
      <c r="AG39" s="479"/>
      <c r="AH39" s="479"/>
      <c r="AI39" s="479"/>
      <c r="AJ39" s="479"/>
      <c r="AK39" s="479"/>
      <c r="AL39" s="479"/>
      <c r="AM39" s="479"/>
      <c r="AN39" s="479"/>
    </row>
    <row r="40" ht="27.9761905670166" customHeight="1">
      <c r="A40" s="124"/>
      <c r="B40" s="125"/>
      <c r="C40" s="108"/>
      <c r="D40" s="122"/>
      <c r="E40" s="478"/>
      <c r="F40" s="478"/>
      <c r="G40" s="478"/>
      <c r="H40" s="478"/>
      <c r="I40" s="478"/>
      <c r="J40" s="478"/>
      <c r="K40" s="478"/>
      <c r="L40" s="478"/>
      <c r="M40" s="478"/>
      <c r="N40" s="478"/>
      <c r="O40" s="478"/>
      <c r="P40" s="478"/>
      <c r="Q40" s="478"/>
      <c r="R40" s="478"/>
      <c r="S40" s="478"/>
      <c r="T40" s="478"/>
      <c r="U40" s="478"/>
      <c r="V40" s="478"/>
      <c r="W40" s="478"/>
      <c r="X40" s="478"/>
      <c r="Y40" s="478"/>
      <c r="Z40" s="478"/>
      <c r="AA40" s="478"/>
      <c r="AB40" s="478"/>
      <c r="AC40" s="478"/>
      <c r="AD40" s="478"/>
      <c r="AE40" s="478"/>
      <c r="AF40" s="478"/>
      <c r="AG40" s="478"/>
      <c r="AH40" s="478"/>
      <c r="AI40" s="478"/>
      <c r="AJ40" s="478"/>
      <c r="AK40" s="478"/>
      <c r="AL40" s="478"/>
      <c r="AM40" s="478"/>
      <c r="AN40" s="478"/>
    </row>
    <row r="41" ht="33.92856979370117" customHeight="1">
      <c r="A41" s="124"/>
      <c r="B41" s="123"/>
      <c r="C41" s="111"/>
      <c r="D41" s="122"/>
      <c r="E41" s="479"/>
      <c r="F41" s="479"/>
      <c r="G41" s="479"/>
      <c r="H41" s="479"/>
      <c r="I41" s="479"/>
      <c r="J41" s="479"/>
      <c r="K41" s="479"/>
      <c r="L41" s="479"/>
      <c r="M41" s="479"/>
      <c r="N41" s="479"/>
      <c r="O41" s="479"/>
      <c r="P41" s="479"/>
      <c r="Q41" s="479"/>
      <c r="R41" s="479"/>
      <c r="S41" s="479"/>
      <c r="T41" s="479"/>
      <c r="U41" s="479"/>
      <c r="V41" s="479"/>
      <c r="W41" s="479"/>
      <c r="X41" s="479"/>
      <c r="Y41" s="479"/>
      <c r="Z41" s="479"/>
      <c r="AA41" s="479"/>
      <c r="AB41" s="479"/>
      <c r="AC41" s="479"/>
      <c r="AD41" s="479"/>
      <c r="AE41" s="479"/>
      <c r="AF41" s="479"/>
      <c r="AG41" s="479"/>
      <c r="AH41" s="479"/>
      <c r="AI41" s="479"/>
      <c r="AJ41" s="479"/>
      <c r="AK41" s="479"/>
      <c r="AL41" s="479"/>
      <c r="AM41" s="479"/>
      <c r="AN41" s="479"/>
    </row>
    <row r="42" ht="19.047618865966797" customHeight="1">
      <c r="A42" s="124"/>
      <c r="B42" s="127"/>
      <c r="C42" s="128"/>
      <c r="D42" s="122"/>
      <c r="E42" s="480"/>
      <c r="F42" s="480"/>
      <c r="G42" s="481"/>
      <c r="H42" s="480"/>
      <c r="I42" s="480"/>
      <c r="J42" s="481"/>
      <c r="K42" s="480"/>
      <c r="L42" s="480"/>
      <c r="M42" s="481"/>
      <c r="N42" s="480"/>
      <c r="O42" s="480"/>
      <c r="P42" s="481"/>
      <c r="Q42" s="482"/>
      <c r="R42" s="482"/>
      <c r="S42" s="481"/>
      <c r="T42" s="480"/>
      <c r="U42" s="480"/>
      <c r="V42" s="481"/>
      <c r="W42" s="480"/>
      <c r="X42" s="480"/>
      <c r="Y42" s="481"/>
      <c r="Z42" s="482"/>
      <c r="AA42" s="482"/>
      <c r="AB42" s="481"/>
      <c r="AC42" s="480"/>
      <c r="AD42" s="480"/>
      <c r="AE42" s="481"/>
      <c r="AF42" s="480"/>
      <c r="AG42" s="480"/>
      <c r="AH42" s="481"/>
      <c r="AI42" s="482"/>
      <c r="AJ42" s="482"/>
      <c r="AK42" s="481"/>
      <c r="AL42" s="480"/>
      <c r="AM42" s="480"/>
      <c r="AN42" s="481"/>
    </row>
    <row r="43" ht="27.9761905670166" customHeight="1">
      <c r="A43" s="124"/>
      <c r="B43" s="123"/>
      <c r="C43" s="111"/>
      <c r="D43" s="122"/>
      <c r="E43" s="483"/>
      <c r="F43" s="483"/>
      <c r="G43" s="484"/>
      <c r="H43" s="483"/>
      <c r="I43" s="483"/>
      <c r="J43" s="484"/>
      <c r="K43" s="483"/>
      <c r="L43" s="483"/>
      <c r="M43" s="484"/>
      <c r="N43" s="483"/>
      <c r="O43" s="483"/>
      <c r="P43" s="484"/>
      <c r="Q43" s="485"/>
      <c r="R43" s="485"/>
      <c r="S43" s="484"/>
      <c r="T43" s="483"/>
      <c r="U43" s="483"/>
      <c r="V43" s="484"/>
      <c r="W43" s="483"/>
      <c r="X43" s="483"/>
      <c r="Y43" s="484"/>
      <c r="Z43" s="485"/>
      <c r="AA43" s="485"/>
      <c r="AB43" s="484"/>
      <c r="AC43" s="483"/>
      <c r="AD43" s="483"/>
      <c r="AE43" s="484"/>
      <c r="AF43" s="483"/>
      <c r="AG43" s="483"/>
      <c r="AH43" s="484"/>
      <c r="AI43" s="485"/>
      <c r="AJ43" s="485"/>
      <c r="AK43" s="484"/>
      <c r="AL43" s="483"/>
      <c r="AM43" s="483"/>
      <c r="AN43" s="484"/>
    </row>
    <row r="44" ht="22.03734588623047" customHeight="1">
      <c r="A44" s="124"/>
      <c r="B44" s="80"/>
      <c r="C44" s="108"/>
      <c r="D44" s="82"/>
      <c r="E44" s="478"/>
      <c r="F44" s="478"/>
      <c r="G44" s="478"/>
      <c r="H44" s="478"/>
      <c r="I44" s="478"/>
      <c r="J44" s="478"/>
      <c r="K44" s="478"/>
      <c r="L44" s="478"/>
      <c r="M44" s="478"/>
      <c r="N44" s="478"/>
      <c r="O44" s="478"/>
      <c r="P44" s="478"/>
      <c r="Q44" s="478"/>
      <c r="R44" s="478"/>
      <c r="S44" s="478"/>
      <c r="T44" s="478"/>
      <c r="U44" s="478"/>
      <c r="V44" s="478"/>
      <c r="W44" s="478"/>
      <c r="X44" s="478"/>
      <c r="Y44" s="478"/>
      <c r="Z44" s="478"/>
      <c r="AA44" s="478"/>
      <c r="AB44" s="478"/>
      <c r="AC44" s="478"/>
      <c r="AD44" s="478"/>
      <c r="AE44" s="478"/>
      <c r="AF44" s="478"/>
      <c r="AG44" s="478"/>
      <c r="AH44" s="478"/>
      <c r="AI44" s="478"/>
      <c r="AJ44" s="478"/>
      <c r="AK44" s="478"/>
      <c r="AL44" s="478"/>
      <c r="AM44" s="478"/>
      <c r="AN44" s="478"/>
    </row>
    <row r="45" ht="22.84903335571289" customHeight="1">
      <c r="A45" s="135"/>
      <c r="B45" s="113"/>
      <c r="C45" s="111"/>
      <c r="D45" s="82"/>
      <c r="E45" s="475"/>
      <c r="F45" s="475"/>
      <c r="G45" s="476"/>
      <c r="H45" s="475"/>
      <c r="I45" s="475"/>
      <c r="J45" s="476"/>
      <c r="K45" s="475"/>
      <c r="L45" s="475"/>
      <c r="M45" s="476"/>
      <c r="N45" s="475"/>
      <c r="O45" s="475"/>
      <c r="P45" s="476"/>
      <c r="Q45" s="475"/>
      <c r="R45" s="475"/>
      <c r="S45" s="476"/>
      <c r="T45" s="475"/>
      <c r="U45" s="475"/>
      <c r="V45" s="476"/>
      <c r="W45" s="475"/>
      <c r="X45" s="475"/>
      <c r="Y45" s="476"/>
      <c r="Z45" s="475"/>
      <c r="AA45" s="475"/>
      <c r="AB45" s="476"/>
      <c r="AC45" s="475"/>
      <c r="AD45" s="475"/>
      <c r="AE45" s="476"/>
      <c r="AF45" s="475"/>
      <c r="AG45" s="475"/>
      <c r="AH45" s="476"/>
      <c r="AI45" s="475"/>
      <c r="AJ45" s="475"/>
      <c r="AK45" s="476"/>
      <c r="AL45" s="475"/>
      <c r="AM45" s="475"/>
      <c r="AN45" s="476"/>
    </row>
    <row r="46">
      <c r="A46" s="55" t="n">
        <v>3</v>
      </c>
      <c r="B46" s="75" t="str">
        <v>Lợi nhuận vận hành</v>
      </c>
      <c r="C46" s="106"/>
      <c r="D46" s="136" t="str">
        <v>Doanh thu – tổng chi phí</v>
      </c>
      <c r="E46" s="473" t="str">
        <f>IF(OR(E19="",E32=""),"",E19-E32)</f>
      </c>
      <c r="F46" s="473" t="str">
        <f>IF(OR(F19="",F32=""),"",F19-F32)</f>
      </c>
      <c r="G46" s="473" t="str">
        <f>IF(OR(G19="",G32=""),"",G19-G32)</f>
      </c>
      <c r="H46" s="473" t="str">
        <f>IF(OR(H19="",H32=""),"",H19-H32)</f>
      </c>
      <c r="I46" s="473" t="str">
        <f>IF(OR(I19="",I32=""),"",I19-I32)</f>
      </c>
      <c r="J46" s="473" t="str">
        <f>IF(OR(J19="",J32=""),"",J19-J32)</f>
      </c>
      <c r="K46" s="473" t="str">
        <f>IF(OR(K19="",K32=""),"",K19-K32)</f>
      </c>
      <c r="L46" s="473" t="str">
        <f>IF(OR(L19="",L32=""),"",L19-L32)</f>
      </c>
      <c r="M46" s="473" t="str">
        <f>IF(OR(M19="",M32=""),"",M19-M32)</f>
      </c>
      <c r="N46" s="473" t="str">
        <f>IF(OR(N19="",N32=""),"",N19-N32)</f>
      </c>
      <c r="O46" s="473" t="str">
        <f>IF(OR(O19="",O32=""),"",O19-O32)</f>
      </c>
      <c r="P46" s="473" t="str">
        <f>IF(OR(P19="",P32=""),"",P19-P32)</f>
      </c>
      <c r="Q46" s="473" t="str">
        <f>IF(OR(Q19="",Q32=""),"",Q19-Q32)</f>
      </c>
      <c r="R46" s="473" t="str">
        <f>IF(OR(R19="",R32=""),"",R19-R32)</f>
      </c>
      <c r="S46" s="473" t="str">
        <f>IF(OR(S19="",S32=""),"",S19-S32)</f>
      </c>
      <c r="T46" s="473" t="str">
        <f>IF(OR(T19="",T32=""),"",T19-T32)</f>
      </c>
      <c r="U46" s="473" t="str">
        <f>IF(OR(U19="",U32=""),"",U19-U32)</f>
      </c>
      <c r="V46" s="473" t="str">
        <f>IF(OR(V19="",V32=""),"",V19-V32)</f>
      </c>
      <c r="W46" s="473" t="str">
        <f>IF(OR(W19="",W32=""),"",W19-W32)</f>
      </c>
      <c r="X46" s="473" t="str">
        <f>IF(OR(X19="",X32=""),"",X19-X32)</f>
      </c>
      <c r="Y46" s="473" t="str">
        <f>IF(OR(Y19="",Y32=""),"",Y19-Y32)</f>
      </c>
      <c r="Z46" s="473" t="str">
        <f>IF(OR(Z19="",Z32=""),"",Z19-Z32)</f>
      </c>
      <c r="AA46" s="473" t="str">
        <f>IF(OR(AA19="",AA32=""),"",AA19-AA32)</f>
      </c>
      <c r="AB46" s="473" t="str">
        <f>IF(OR(AB19="",AB32=""),"",AB19-AB32)</f>
      </c>
      <c r="AC46" s="473" t="str">
        <f>IF(OR(AC19="",AC32=""),"",AC19-AC32)</f>
      </c>
      <c r="AD46" s="473" t="str">
        <f>IF(OR(AD19="",AD32=""),"",AD19-AD32)</f>
      </c>
      <c r="AE46" s="473" t="str">
        <f>IF(OR(AE19="",AE32=""),"",AE19-AE32)</f>
      </c>
      <c r="AF46" s="473" t="str">
        <f>IF(OR(AF19="",AF32=""),"",AF19-AF32)</f>
      </c>
      <c r="AG46" s="473" t="str">
        <f>IF(OR(AG19="",AG32=""),"",AG19-AG32)</f>
      </c>
      <c r="AH46" s="473" t="str">
        <f>IF(OR(AH19="",AH32=""),"",AH19-AH32)</f>
      </c>
      <c r="AI46" s="473" t="str">
        <f>IF(OR(AI19="",AI32=""),"",AI19-AI32)</f>
      </c>
      <c r="AJ46" s="473" t="str">
        <f>IF(OR(AJ19="",AJ32=""),"",AJ19-AJ32)</f>
      </c>
      <c r="AK46" s="473" t="str">
        <f>IF(OR(AK19="",AK32=""),"",AK19-AK32)</f>
      </c>
      <c r="AL46" s="473" t="str">
        <f>IF(OR(AL19="",AL32=""),"",AL19-AL32)</f>
      </c>
      <c r="AM46" s="473" t="str">
        <f>IF(OR(AM19="",AM32=""),"",AM19-AM32)</f>
      </c>
      <c r="AN46" s="473" t="str">
        <f>IF(OR(AN19="",AN32=""),"",AN19-AN32)</f>
      </c>
    </row>
    <row r="47">
      <c r="A47" s="55"/>
      <c r="B47" s="75"/>
      <c r="C47" s="137"/>
      <c r="D47" s="136"/>
      <c r="E47" s="473"/>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c r="AK47" s="473"/>
      <c r="AL47" s="473"/>
      <c r="AM47" s="473"/>
      <c r="AN47" s="473"/>
    </row>
    <row r="48" ht="52.61094284057617" customHeight="1">
      <c r="A48" s="55"/>
      <c r="B48" s="80"/>
      <c r="C48" s="108"/>
      <c r="D48" s="82"/>
      <c r="E48" s="478"/>
      <c r="F48" s="478"/>
      <c r="G48" s="478"/>
      <c r="H48" s="478"/>
      <c r="I48" s="478"/>
      <c r="J48" s="478"/>
      <c r="K48" s="478"/>
      <c r="L48" s="478"/>
      <c r="M48" s="478"/>
      <c r="N48" s="478"/>
      <c r="O48" s="478"/>
      <c r="P48" s="478"/>
      <c r="Q48" s="478"/>
      <c r="R48" s="478"/>
      <c r="S48" s="478"/>
      <c r="T48" s="478"/>
      <c r="U48" s="478"/>
      <c r="V48" s="478"/>
      <c r="W48" s="478"/>
      <c r="X48" s="478"/>
      <c r="Y48" s="478"/>
      <c r="Z48" s="478"/>
      <c r="AA48" s="478"/>
      <c r="AB48" s="478"/>
      <c r="AC48" s="478"/>
      <c r="AD48" s="478"/>
      <c r="AE48" s="478"/>
      <c r="AF48" s="478"/>
      <c r="AG48" s="478"/>
      <c r="AH48" s="478"/>
      <c r="AI48" s="478"/>
      <c r="AJ48" s="478"/>
      <c r="AK48" s="478"/>
      <c r="AL48" s="478"/>
      <c r="AM48" s="478"/>
      <c r="AN48" s="478"/>
    </row>
    <row r="49" ht="18.682371139526367" customHeight="1">
      <c r="A49" s="93"/>
      <c r="B49" s="70"/>
      <c r="C49" s="111"/>
      <c r="D49" s="138"/>
      <c r="E49" s="475"/>
      <c r="F49" s="475"/>
      <c r="G49" s="475"/>
      <c r="H49" s="475"/>
      <c r="I49" s="475"/>
      <c r="J49" s="475"/>
      <c r="K49" s="475"/>
      <c r="L49" s="475"/>
      <c r="M49" s="475"/>
      <c r="N49" s="475"/>
      <c r="O49" s="475"/>
      <c r="P49" s="475"/>
      <c r="Q49" s="475"/>
      <c r="R49" s="475"/>
      <c r="S49" s="475"/>
      <c r="T49" s="475"/>
      <c r="U49" s="475"/>
      <c r="V49" s="475"/>
      <c r="W49" s="475"/>
      <c r="X49" s="475"/>
      <c r="Y49" s="475"/>
      <c r="Z49" s="475"/>
      <c r="AA49" s="475"/>
      <c r="AB49" s="475"/>
      <c r="AC49" s="475"/>
      <c r="AD49" s="475"/>
      <c r="AE49" s="475"/>
      <c r="AF49" s="475"/>
      <c r="AG49" s="475"/>
      <c r="AH49" s="475"/>
      <c r="AI49" s="475"/>
      <c r="AJ49" s="475"/>
      <c r="AK49" s="475"/>
      <c r="AL49" s="475"/>
      <c r="AM49" s="475"/>
      <c r="AN49" s="475"/>
    </row>
    <row r="50">
      <c r="A50" s="55"/>
      <c r="B50" s="80"/>
      <c r="C50" s="108"/>
      <c r="D50" s="82"/>
      <c r="E50" s="478"/>
      <c r="F50" s="478"/>
      <c r="G50" s="471"/>
      <c r="H50" s="478"/>
      <c r="I50" s="478"/>
      <c r="J50" s="471"/>
      <c r="K50" s="478"/>
      <c r="L50" s="478"/>
      <c r="M50" s="471"/>
      <c r="N50" s="478"/>
      <c r="O50" s="478"/>
      <c r="P50" s="471"/>
      <c r="Q50" s="478"/>
      <c r="R50" s="478"/>
      <c r="S50" s="471"/>
      <c r="T50" s="478"/>
      <c r="U50" s="478"/>
      <c r="V50" s="471"/>
      <c r="W50" s="478"/>
      <c r="X50" s="478"/>
      <c r="Y50" s="471"/>
      <c r="Z50" s="478"/>
      <c r="AA50" s="478"/>
      <c r="AB50" s="471"/>
      <c r="AC50" s="478"/>
      <c r="AD50" s="478"/>
      <c r="AE50" s="471"/>
      <c r="AF50" s="478"/>
      <c r="AG50" s="478"/>
      <c r="AH50" s="471"/>
      <c r="AI50" s="478"/>
      <c r="AJ50" s="478"/>
      <c r="AK50" s="471"/>
      <c r="AL50" s="478"/>
      <c r="AM50" s="478"/>
      <c r="AN50" s="471"/>
    </row>
    <row r="51" ht="16.66666603088379" customHeight="1">
      <c r="A51" s="93"/>
      <c r="B51" s="70"/>
      <c r="C51" s="111"/>
      <c r="D51" s="138"/>
      <c r="E51" s="476"/>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c r="AK51" s="476"/>
      <c r="AL51" s="476"/>
      <c r="AM51" s="476"/>
      <c r="AN51" s="476"/>
    </row>
    <row r="52">
      <c r="A52" s="55"/>
      <c r="B52" s="80"/>
      <c r="C52" s="108"/>
      <c r="D52" s="82"/>
      <c r="E52" s="478"/>
      <c r="F52" s="478"/>
      <c r="G52" s="471"/>
      <c r="H52" s="478"/>
      <c r="I52" s="478"/>
      <c r="J52" s="471"/>
      <c r="K52" s="478"/>
      <c r="L52" s="478"/>
      <c r="M52" s="471"/>
      <c r="N52" s="478"/>
      <c r="O52" s="478"/>
      <c r="P52" s="471"/>
      <c r="Q52" s="478"/>
      <c r="R52" s="478"/>
      <c r="S52" s="471"/>
      <c r="T52" s="478"/>
      <c r="U52" s="478"/>
      <c r="V52" s="471"/>
      <c r="W52" s="478"/>
      <c r="X52" s="478"/>
      <c r="Y52" s="471"/>
      <c r="Z52" s="478"/>
      <c r="AA52" s="478"/>
      <c r="AB52" s="471"/>
      <c r="AC52" s="478"/>
      <c r="AD52" s="478"/>
      <c r="AE52" s="471"/>
      <c r="AF52" s="478"/>
      <c r="AG52" s="478"/>
      <c r="AH52" s="471"/>
      <c r="AI52" s="478"/>
      <c r="AJ52" s="478"/>
      <c r="AK52" s="471"/>
      <c r="AL52" s="478"/>
      <c r="AM52" s="478"/>
      <c r="AN52" s="471"/>
    </row>
    <row r="53" ht="18.087133407592773" customHeight="1">
      <c r="A53" s="93"/>
      <c r="B53" s="70"/>
      <c r="C53" s="111"/>
      <c r="D53" s="70"/>
      <c r="E53" s="476"/>
      <c r="F53" s="476"/>
      <c r="G53" s="476"/>
      <c r="H53" s="476"/>
      <c r="I53" s="476"/>
      <c r="J53" s="476"/>
      <c r="K53" s="476"/>
      <c r="L53" s="476"/>
      <c r="M53" s="476"/>
      <c r="N53" s="476"/>
      <c r="O53" s="476"/>
      <c r="P53" s="476"/>
      <c r="Q53" s="476"/>
      <c r="R53" s="476"/>
      <c r="S53" s="476"/>
      <c r="T53" s="476"/>
      <c r="U53" s="476"/>
      <c r="V53" s="476"/>
      <c r="W53" s="476"/>
      <c r="X53" s="476"/>
      <c r="Y53" s="476"/>
      <c r="Z53" s="476"/>
      <c r="AA53" s="476"/>
      <c r="AB53" s="476"/>
      <c r="AC53" s="476"/>
      <c r="AD53" s="476"/>
      <c r="AE53" s="476"/>
      <c r="AF53" s="476"/>
      <c r="AG53" s="476"/>
      <c r="AH53" s="476"/>
      <c r="AI53" s="476"/>
      <c r="AJ53" s="476"/>
      <c r="AK53" s="476"/>
      <c r="AL53" s="476"/>
      <c r="AM53" s="476"/>
      <c r="AN53" s="476"/>
    </row>
    <row r="54">
      <c r="A54" s="55"/>
      <c r="B54" s="140"/>
      <c r="C54" s="108"/>
      <c r="D54" s="82"/>
      <c r="E54" s="478"/>
      <c r="F54" s="478"/>
      <c r="G54" s="471"/>
      <c r="H54" s="478"/>
      <c r="I54" s="478"/>
      <c r="J54" s="471"/>
      <c r="K54" s="478"/>
      <c r="L54" s="478"/>
      <c r="M54" s="471"/>
      <c r="N54" s="478"/>
      <c r="O54" s="478"/>
      <c r="P54" s="471"/>
      <c r="Q54" s="478"/>
      <c r="R54" s="478"/>
      <c r="S54" s="471"/>
      <c r="T54" s="478"/>
      <c r="U54" s="478"/>
      <c r="V54" s="471"/>
      <c r="W54" s="478"/>
      <c r="X54" s="478"/>
      <c r="Y54" s="471"/>
      <c r="Z54" s="478"/>
      <c r="AA54" s="478"/>
      <c r="AB54" s="471"/>
      <c r="AC54" s="478"/>
      <c r="AD54" s="478"/>
      <c r="AE54" s="471"/>
      <c r="AF54" s="478"/>
      <c r="AG54" s="478"/>
      <c r="AH54" s="471"/>
      <c r="AI54" s="478"/>
      <c r="AJ54" s="478"/>
      <c r="AK54" s="471"/>
      <c r="AL54" s="478"/>
      <c r="AM54" s="478"/>
      <c r="AN54" s="471"/>
    </row>
    <row r="55" ht="16.66666603088379" customHeight="1">
      <c r="A55" s="141"/>
      <c r="B55" s="115"/>
      <c r="C55" s="111"/>
      <c r="D55" s="115"/>
      <c r="E55" s="476"/>
      <c r="F55" s="476"/>
      <c r="G55" s="476"/>
      <c r="H55" s="476"/>
      <c r="I55" s="476"/>
      <c r="J55" s="476"/>
      <c r="K55" s="476"/>
      <c r="L55" s="476"/>
      <c r="M55" s="476"/>
      <c r="N55" s="476"/>
      <c r="O55" s="476"/>
      <c r="P55" s="476"/>
      <c r="Q55" s="476"/>
      <c r="R55" s="476"/>
      <c r="S55" s="476"/>
      <c r="T55" s="476"/>
      <c r="U55" s="476"/>
      <c r="V55" s="476"/>
      <c r="W55" s="476"/>
      <c r="X55" s="476"/>
      <c r="Y55" s="476"/>
      <c r="Z55" s="476"/>
      <c r="AA55" s="476"/>
      <c r="AB55" s="476"/>
      <c r="AC55" s="476"/>
      <c r="AD55" s="476"/>
      <c r="AE55" s="476"/>
      <c r="AF55" s="476"/>
      <c r="AG55" s="476"/>
      <c r="AH55" s="476"/>
      <c r="AI55" s="476"/>
      <c r="AJ55" s="476"/>
      <c r="AK55" s="476"/>
      <c r="AL55" s="476"/>
      <c r="AM55" s="476"/>
      <c r="AN55" s="476"/>
    </row>
    <row r="56">
      <c r="A56" s="142"/>
      <c r="B56" s="143"/>
      <c r="C56" s="108"/>
      <c r="D56" s="82"/>
      <c r="E56" s="478"/>
      <c r="F56" s="478"/>
      <c r="G56" s="478"/>
      <c r="H56" s="478"/>
      <c r="I56" s="478"/>
      <c r="J56" s="478"/>
      <c r="K56" s="478"/>
      <c r="L56" s="478"/>
      <c r="M56" s="478"/>
      <c r="N56" s="478"/>
      <c r="O56" s="478"/>
      <c r="P56" s="478"/>
      <c r="Q56" s="478"/>
      <c r="R56" s="478"/>
      <c r="S56" s="478"/>
      <c r="T56" s="478"/>
      <c r="U56" s="478"/>
      <c r="V56" s="478"/>
      <c r="W56" s="478"/>
      <c r="X56" s="478"/>
      <c r="Y56" s="478"/>
      <c r="Z56" s="478"/>
      <c r="AA56" s="478"/>
      <c r="AB56" s="478"/>
      <c r="AC56" s="478"/>
      <c r="AD56" s="478"/>
      <c r="AE56" s="478"/>
      <c r="AF56" s="478"/>
      <c r="AG56" s="478"/>
      <c r="AH56" s="478"/>
      <c r="AI56" s="478"/>
      <c r="AJ56" s="478"/>
      <c r="AK56" s="478"/>
      <c r="AL56" s="478"/>
      <c r="AM56" s="478"/>
      <c r="AN56" s="478"/>
    </row>
    <row r="57" ht="16.66666603088379" customHeight="1">
      <c r="A57" s="141"/>
      <c r="B57" s="113"/>
      <c r="C57" s="111"/>
      <c r="D57" s="138"/>
      <c r="E57" s="475"/>
      <c r="F57" s="475"/>
      <c r="G57" s="476"/>
      <c r="H57" s="475"/>
      <c r="I57" s="475"/>
      <c r="J57" s="476"/>
      <c r="K57" s="475"/>
      <c r="L57" s="475"/>
      <c r="M57" s="476"/>
      <c r="N57" s="475"/>
      <c r="O57" s="475"/>
      <c r="P57" s="476"/>
      <c r="Q57" s="475"/>
      <c r="R57" s="475"/>
      <c r="S57" s="476"/>
      <c r="T57" s="475"/>
      <c r="U57" s="475"/>
      <c r="V57" s="476"/>
      <c r="W57" s="475"/>
      <c r="X57" s="475"/>
      <c r="Y57" s="476"/>
      <c r="Z57" s="475"/>
      <c r="AA57" s="475"/>
      <c r="AB57" s="476"/>
      <c r="AC57" s="475"/>
      <c r="AD57" s="475"/>
      <c r="AE57" s="476"/>
      <c r="AF57" s="475"/>
      <c r="AG57" s="475"/>
      <c r="AH57" s="476"/>
      <c r="AI57" s="475"/>
      <c r="AJ57" s="475"/>
      <c r="AK57" s="476"/>
      <c r="AL57" s="475"/>
      <c r="AM57" s="475"/>
      <c r="AN57" s="476"/>
    </row>
    <row r="58">
      <c r="A58" s="55" t="n">
        <v>5</v>
      </c>
      <c r="B58" s="144" t="str">
        <v>Lợi nhuận trước thuế</v>
      </c>
      <c r="C58" s="106"/>
      <c r="D58" s="136"/>
      <c r="E58" s="473" t="n">
        <f>E46</f>
        <v>0</v>
      </c>
      <c r="F58" s="473" t="n">
        <f>F46</f>
        <v>0</v>
      </c>
      <c r="G58" s="473" t="n">
        <f>G46</f>
        <v>0</v>
      </c>
      <c r="H58" s="473" t="n">
        <f>H46</f>
        <v>0</v>
      </c>
      <c r="I58" s="473" t="n">
        <f>I46</f>
        <v>0</v>
      </c>
      <c r="J58" s="473" t="n">
        <f>J46</f>
        <v>0</v>
      </c>
      <c r="K58" s="473" t="n">
        <f>K46</f>
        <v>0</v>
      </c>
      <c r="L58" s="473" t="n">
        <f>L46</f>
        <v>0</v>
      </c>
      <c r="M58" s="473" t="n">
        <f>M46</f>
        <v>0</v>
      </c>
      <c r="N58" s="473" t="n">
        <f>N46</f>
        <v>0</v>
      </c>
      <c r="O58" s="473" t="n">
        <f>O46</f>
        <v>0</v>
      </c>
      <c r="P58" s="473" t="n">
        <f>P46</f>
        <v>0</v>
      </c>
      <c r="Q58" s="473" t="n">
        <f>Q46</f>
        <v>0</v>
      </c>
      <c r="R58" s="473" t="n">
        <f>R46</f>
        <v>0</v>
      </c>
      <c r="S58" s="473" t="n">
        <f>S46</f>
        <v>0</v>
      </c>
      <c r="T58" s="473" t="n">
        <f>T46</f>
        <v>0</v>
      </c>
      <c r="U58" s="473" t="n">
        <f>U46</f>
        <v>0</v>
      </c>
      <c r="V58" s="473" t="n">
        <f>V46</f>
        <v>0</v>
      </c>
      <c r="W58" s="473" t="n">
        <f>W46</f>
        <v>0</v>
      </c>
      <c r="X58" s="473" t="n">
        <f>X46</f>
        <v>0</v>
      </c>
      <c r="Y58" s="473" t="n">
        <f>Y46</f>
        <v>0</v>
      </c>
      <c r="Z58" s="473" t="n">
        <f>Z46</f>
        <v>0</v>
      </c>
      <c r="AA58" s="473" t="n">
        <f>AA46</f>
        <v>0</v>
      </c>
      <c r="AB58" s="473" t="n">
        <f>AB46</f>
        <v>0</v>
      </c>
      <c r="AC58" s="473" t="n">
        <f>AC46</f>
        <v>0</v>
      </c>
      <c r="AD58" s="473" t="n">
        <f>AD46</f>
        <v>0</v>
      </c>
      <c r="AE58" s="473" t="n">
        <f>AE46</f>
        <v>0</v>
      </c>
      <c r="AF58" s="473" t="n">
        <f>AF46</f>
        <v>0</v>
      </c>
      <c r="AG58" s="473" t="n">
        <f>AG46</f>
        <v>0</v>
      </c>
      <c r="AH58" s="473" t="n">
        <f>AH46</f>
        <v>0</v>
      </c>
      <c r="AI58" s="473" t="n">
        <f>AI46</f>
        <v>0</v>
      </c>
      <c r="AJ58" s="473" t="n">
        <f>AJ46</f>
        <v>0</v>
      </c>
      <c r="AK58" s="473" t="n">
        <f>AK46</f>
        <v>0</v>
      </c>
      <c r="AL58" s="473" t="n">
        <f>AL46</f>
        <v>0</v>
      </c>
      <c r="AM58" s="473" t="n">
        <f>AM46</f>
        <v>0</v>
      </c>
      <c r="AN58" s="473" t="n">
        <f>AN46</f>
        <v>0</v>
      </c>
    </row>
    <row r="59">
      <c r="A59" s="93"/>
      <c r="B59" s="145" t="str">
        <v>Thuế TNDN / nghĩa vụ thuế</v>
      </c>
      <c r="C59" s="108"/>
      <c r="D59" s="146"/>
      <c r="E59" s="471"/>
      <c r="F59" s="471"/>
      <c r="G59" s="471"/>
      <c r="H59" s="471"/>
      <c r="I59" s="471"/>
      <c r="J59" s="471"/>
      <c r="K59" s="471"/>
      <c r="L59" s="471"/>
      <c r="M59" s="471"/>
      <c r="N59" s="471"/>
      <c r="O59" s="471"/>
      <c r="P59" s="471"/>
      <c r="Q59" s="471"/>
      <c r="R59" s="471"/>
      <c r="S59" s="471"/>
      <c r="T59" s="471"/>
      <c r="U59" s="471"/>
      <c r="V59" s="471"/>
      <c r="W59" s="471"/>
      <c r="X59" s="471"/>
      <c r="Y59" s="471"/>
      <c r="Z59" s="471"/>
      <c r="AA59" s="471"/>
      <c r="AB59" s="471"/>
      <c r="AC59" s="471"/>
      <c r="AD59" s="471"/>
      <c r="AE59" s="471"/>
      <c r="AF59" s="471"/>
      <c r="AG59" s="471"/>
      <c r="AH59" s="471"/>
      <c r="AI59" s="471"/>
      <c r="AJ59" s="471"/>
      <c r="AK59" s="471"/>
      <c r="AL59" s="471"/>
      <c r="AM59" s="471"/>
      <c r="AN59" s="471"/>
    </row>
    <row r="60">
      <c r="A60" s="55" t="n">
        <v>6</v>
      </c>
      <c r="B60" s="144" t="str">
        <v>Lợi nhuận sau thuế</v>
      </c>
      <c r="C60" s="106"/>
      <c r="D60" s="136"/>
      <c r="E60" s="486" t="str">
        <f>IF(E58="","",E58-E59)</f>
      </c>
      <c r="F60" s="486" t="str">
        <f>IF(F58="","",F58-F59)</f>
      </c>
      <c r="G60" s="486" t="str">
        <f>IF(G58="","",G58-G59)</f>
      </c>
      <c r="H60" s="486" t="str">
        <f>IF(H58="","",H58-H59)</f>
      </c>
      <c r="I60" s="486" t="str">
        <f>IF(I58="","",I58-I59)</f>
      </c>
      <c r="J60" s="486" t="str">
        <f>IF(J58="","",J58-J59)</f>
      </c>
      <c r="K60" s="486" t="str">
        <f>IF(K58="","",K58-K59)</f>
      </c>
      <c r="L60" s="486" t="str">
        <f>IF(L58="","",L58-L59)</f>
      </c>
      <c r="M60" s="486" t="str">
        <f>IF(M58="","",M58-M59)</f>
      </c>
      <c r="N60" s="486" t="str">
        <f>IF(N58="","",N58-N59)</f>
      </c>
      <c r="O60" s="486" t="str">
        <f>IF(O58="","",O58-O59)</f>
      </c>
      <c r="P60" s="486" t="str">
        <f>IF(P58="","",P58-P59)</f>
      </c>
      <c r="Q60" s="486" t="str">
        <f>IF(Q58="","",Q58-Q59)</f>
      </c>
      <c r="R60" s="486" t="str">
        <f>IF(R58="","",R58-R59)</f>
      </c>
      <c r="S60" s="486" t="str">
        <f>IF(S58="","",S58-S59)</f>
      </c>
      <c r="T60" s="486" t="str">
        <f>IF(T58="","",T58-T59)</f>
      </c>
      <c r="U60" s="486" t="str">
        <f>IF(U58="","",U58-U59)</f>
      </c>
      <c r="V60" s="486" t="str">
        <f>IF(V58="","",V58-V59)</f>
      </c>
      <c r="W60" s="486" t="str">
        <f>IF(W58="","",W58-W59)</f>
      </c>
      <c r="X60" s="486" t="str">
        <f>IF(X58="","",X58-X59)</f>
      </c>
      <c r="Y60" s="486" t="str">
        <f>IF(Y58="","",Y58-Y59)</f>
      </c>
      <c r="Z60" s="486" t="str">
        <f>IF(Z58="","",Z58-Z59)</f>
      </c>
      <c r="AA60" s="486" t="str">
        <f>IF(AA58="","",AA58-AA59)</f>
      </c>
      <c r="AB60" s="486" t="str">
        <f>IF(AB58="","",AB58-AB59)</f>
      </c>
      <c r="AC60" s="486" t="str">
        <f>IF(AC58="","",AC58-AC59)</f>
      </c>
      <c r="AD60" s="486" t="str">
        <f>IF(AD58="","",AD58-AD59)</f>
      </c>
      <c r="AE60" s="486" t="str">
        <f>IF(AE58="","",AE58-AE59)</f>
      </c>
      <c r="AF60" s="486" t="str">
        <f>IF(AF58="","",AF58-AF59)</f>
      </c>
      <c r="AG60" s="486" t="str">
        <f>IF(AG58="","",AG58-AG59)</f>
      </c>
      <c r="AH60" s="486" t="str">
        <f>IF(AH58="","",AH58-AH59)</f>
      </c>
      <c r="AI60" s="486" t="str">
        <f>IF(AI58="","",AI58-AI59)</f>
      </c>
      <c r="AJ60" s="486" t="str">
        <f>IF(AJ58="","",AJ58-AJ59)</f>
      </c>
      <c r="AK60" s="486" t="str">
        <f>IF(AK58="","",AK58-AK59)</f>
      </c>
      <c r="AL60" s="486" t="str">
        <f>IF(AL58="","",AL58-AL59)</f>
      </c>
      <c r="AM60" s="486" t="str">
        <f>IF(AM58="","",AM58-AM59)</f>
      </c>
      <c r="AN60" s="486" t="str">
        <f>IF(AN58="","",AN58-AN59)</f>
      </c>
    </row>
    <row r="61">
      <c r="A61" s="148"/>
      <c r="B61" s="149"/>
      <c r="C61" s="149"/>
      <c r="D61" s="150"/>
      <c r="E61" s="149"/>
      <c r="F61" s="149"/>
      <c r="G61" s="149"/>
      <c r="H61" s="149"/>
      <c r="I61" s="149"/>
      <c r="J61" s="149"/>
      <c r="K61" s="149"/>
      <c r="L61" s="149"/>
      <c r="M61" s="149"/>
      <c r="N61" s="149"/>
      <c r="O61" s="149"/>
      <c r="P61" s="149"/>
      <c r="Q61" s="149"/>
      <c r="R61" s="149"/>
      <c r="S61" s="149"/>
      <c r="T61" s="149"/>
    </row>
    <row r="62">
      <c r="A62" s="148"/>
      <c r="B62" s="149"/>
      <c r="C62" s="149"/>
      <c r="D62" s="150"/>
      <c r="E62" s="149"/>
      <c r="F62" s="149"/>
      <c r="G62" s="149"/>
      <c r="H62" s="149"/>
      <c r="I62" s="149"/>
      <c r="J62" s="149"/>
      <c r="K62" s="149"/>
      <c r="L62" s="149"/>
      <c r="M62" s="149"/>
      <c r="N62" s="149"/>
      <c r="O62" s="149"/>
      <c r="P62" s="149"/>
      <c r="Q62" s="149"/>
      <c r="R62" s="149"/>
      <c r="S62" s="149"/>
      <c r="T62" s="149"/>
    </row>
    <row r="63">
      <c r="A63" s="148"/>
      <c r="B63" s="149"/>
      <c r="C63" s="149"/>
      <c r="D63" s="150"/>
      <c r="E63" s="149"/>
      <c r="F63" s="149"/>
      <c r="G63" s="149"/>
      <c r="H63" s="149"/>
      <c r="I63" s="149"/>
      <c r="J63" s="149"/>
      <c r="K63" s="149"/>
      <c r="L63" s="149"/>
      <c r="M63" s="149"/>
      <c r="N63" s="149"/>
      <c r="O63" s="149"/>
      <c r="P63" s="149"/>
      <c r="Q63" s="149"/>
      <c r="R63" s="149"/>
      <c r="S63" s="149"/>
      <c r="T63" s="149"/>
    </row>
    <row r="64">
      <c r="A64" s="148"/>
      <c r="B64" s="149"/>
      <c r="C64" s="149"/>
      <c r="D64" s="150"/>
      <c r="E64" s="149"/>
      <c r="F64" s="149"/>
      <c r="G64" s="149"/>
      <c r="H64" s="149"/>
      <c r="I64" s="149"/>
      <c r="J64" s="149"/>
      <c r="K64" s="149"/>
      <c r="L64" s="149"/>
      <c r="M64" s="149"/>
      <c r="N64" s="149"/>
      <c r="O64" s="149"/>
      <c r="P64" s="149"/>
      <c r="Q64" s="149"/>
      <c r="R64" s="149"/>
      <c r="S64" s="149"/>
      <c r="T64" s="149"/>
    </row>
    <row r="65">
      <c r="A65" s="148"/>
      <c r="B65" s="149"/>
      <c r="C65" s="149"/>
      <c r="D65" s="150"/>
      <c r="E65" s="149"/>
      <c r="F65" s="149"/>
      <c r="G65" s="149"/>
      <c r="H65" s="149"/>
      <c r="I65" s="149"/>
      <c r="J65" s="149"/>
      <c r="K65" s="149"/>
      <c r="L65" s="149"/>
      <c r="M65" s="149"/>
      <c r="N65" s="149"/>
      <c r="O65" s="149"/>
      <c r="P65" s="149"/>
      <c r="Q65" s="149"/>
      <c r="R65" s="149"/>
      <c r="S65" s="149"/>
      <c r="T65" s="149"/>
    </row>
    <row r="66">
      <c r="A66" s="148"/>
      <c r="B66" s="149"/>
      <c r="C66" s="149"/>
      <c r="D66" s="150"/>
      <c r="E66" s="149"/>
      <c r="F66" s="149"/>
      <c r="G66" s="149"/>
      <c r="H66" s="149"/>
      <c r="I66" s="149"/>
      <c r="J66" s="149"/>
      <c r="K66" s="149"/>
      <c r="L66" s="149"/>
      <c r="M66" s="149"/>
      <c r="N66" s="149"/>
      <c r="O66" s="149"/>
      <c r="P66" s="149"/>
      <c r="Q66" s="149"/>
      <c r="R66" s="149"/>
      <c r="S66" s="149"/>
      <c r="T66" s="149"/>
    </row>
    <row r="67">
      <c r="A67" s="148"/>
      <c r="B67" s="149"/>
      <c r="C67" s="149"/>
      <c r="D67" s="150"/>
      <c r="E67" s="149"/>
      <c r="F67" s="149"/>
      <c r="G67" s="149"/>
      <c r="H67" s="149"/>
      <c r="I67" s="149"/>
      <c r="J67" s="149"/>
      <c r="K67" s="149"/>
      <c r="L67" s="149"/>
      <c r="M67" s="149"/>
      <c r="N67" s="149"/>
      <c r="O67" s="149"/>
      <c r="P67" s="149"/>
      <c r="Q67" s="149"/>
      <c r="R67" s="149"/>
      <c r="S67" s="149"/>
      <c r="T67" s="149"/>
    </row>
    <row r="68">
      <c r="A68" s="148"/>
      <c r="B68" s="149"/>
      <c r="C68" s="149"/>
      <c r="D68" s="150"/>
      <c r="E68" s="149"/>
      <c r="F68" s="149"/>
      <c r="G68" s="149"/>
      <c r="H68" s="149"/>
      <c r="I68" s="149"/>
      <c r="J68" s="149"/>
      <c r="K68" s="149"/>
      <c r="L68" s="149"/>
      <c r="M68" s="149"/>
      <c r="N68" s="149"/>
      <c r="O68" s="149"/>
      <c r="P68" s="149"/>
      <c r="Q68" s="149"/>
      <c r="R68" s="149"/>
      <c r="S68" s="149"/>
      <c r="T68" s="149"/>
    </row>
    <row r="69">
      <c r="A69" s="148"/>
      <c r="B69" s="149"/>
      <c r="C69" s="149"/>
      <c r="D69" s="150"/>
      <c r="E69" s="149"/>
      <c r="F69" s="149"/>
      <c r="G69" s="149"/>
      <c r="H69" s="149"/>
      <c r="I69" s="149"/>
      <c r="J69" s="149"/>
      <c r="K69" s="149"/>
      <c r="L69" s="149"/>
      <c r="M69" s="149"/>
      <c r="N69" s="149"/>
      <c r="O69" s="149"/>
      <c r="P69" s="149"/>
      <c r="Q69" s="149"/>
      <c r="R69" s="149"/>
      <c r="S69" s="149"/>
      <c r="T69" s="149"/>
    </row>
    <row r="70">
      <c r="A70" s="148"/>
      <c r="B70" s="149"/>
      <c r="C70" s="149"/>
      <c r="D70" s="150"/>
      <c r="E70" s="149"/>
      <c r="F70" s="149"/>
      <c r="G70" s="149"/>
      <c r="H70" s="149"/>
      <c r="I70" s="149"/>
      <c r="J70" s="149"/>
      <c r="K70" s="149"/>
      <c r="L70" s="149"/>
      <c r="M70" s="149"/>
      <c r="N70" s="149"/>
      <c r="O70" s="149"/>
      <c r="P70" s="149"/>
      <c r="Q70" s="149"/>
      <c r="R70" s="149"/>
      <c r="S70" s="149"/>
      <c r="T70" s="149"/>
    </row>
    <row r="71">
      <c r="A71" s="148"/>
      <c r="B71" s="149"/>
      <c r="C71" s="149"/>
      <c r="D71" s="150"/>
      <c r="E71" s="149"/>
      <c r="F71" s="149"/>
      <c r="G71" s="149"/>
      <c r="H71" s="149"/>
      <c r="I71" s="149"/>
      <c r="J71" s="149"/>
      <c r="K71" s="149"/>
      <c r="L71" s="149"/>
      <c r="M71" s="149"/>
      <c r="N71" s="149"/>
      <c r="O71" s="149"/>
      <c r="P71" s="149"/>
      <c r="Q71" s="149"/>
      <c r="R71" s="149"/>
      <c r="S71" s="149"/>
      <c r="T71" s="149"/>
    </row>
    <row r="72">
      <c r="A72" s="148"/>
      <c r="B72" s="149"/>
      <c r="C72" s="149"/>
      <c r="D72" s="150"/>
      <c r="E72" s="149"/>
      <c r="F72" s="149"/>
      <c r="G72" s="149"/>
      <c r="H72" s="149"/>
      <c r="I72" s="149"/>
      <c r="J72" s="149"/>
      <c r="K72" s="149"/>
      <c r="L72" s="149"/>
      <c r="M72" s="149"/>
      <c r="N72" s="149"/>
      <c r="O72" s="149"/>
      <c r="P72" s="149"/>
      <c r="Q72" s="149"/>
      <c r="R72" s="149"/>
      <c r="S72" s="149"/>
      <c r="T72" s="149"/>
    </row>
    <row r="73">
      <c r="A73" s="148"/>
      <c r="B73" s="149"/>
      <c r="C73" s="149"/>
      <c r="D73" s="150"/>
      <c r="E73" s="149"/>
      <c r="F73" s="149"/>
      <c r="G73" s="149"/>
      <c r="H73" s="149"/>
      <c r="I73" s="149"/>
      <c r="J73" s="149"/>
      <c r="K73" s="149"/>
      <c r="L73" s="149"/>
      <c r="M73" s="149"/>
      <c r="N73" s="149"/>
      <c r="O73" s="149"/>
      <c r="P73" s="149"/>
      <c r="Q73" s="149"/>
      <c r="R73" s="149"/>
      <c r="S73" s="149"/>
      <c r="T73" s="149"/>
    </row>
    <row r="74">
      <c r="A74" s="148"/>
      <c r="B74" s="149"/>
      <c r="C74" s="149"/>
      <c r="D74" s="150"/>
      <c r="E74" s="149"/>
      <c r="F74" s="149"/>
      <c r="G74" s="149"/>
      <c r="H74" s="149"/>
      <c r="I74" s="149"/>
      <c r="J74" s="149"/>
      <c r="K74" s="149"/>
      <c r="L74" s="149"/>
      <c r="M74" s="149"/>
      <c r="N74" s="149"/>
      <c r="O74" s="149"/>
      <c r="P74" s="149"/>
      <c r="Q74" s="149"/>
      <c r="R74" s="149"/>
      <c r="S74" s="149"/>
      <c r="T74" s="149"/>
    </row>
    <row r="75">
      <c r="A75" s="148"/>
      <c r="B75" s="149"/>
      <c r="C75" s="149"/>
      <c r="D75" s="150"/>
      <c r="E75" s="149"/>
      <c r="F75" s="149"/>
      <c r="G75" s="149"/>
      <c r="H75" s="149"/>
      <c r="I75" s="149"/>
      <c r="J75" s="149"/>
      <c r="K75" s="149"/>
      <c r="L75" s="149"/>
      <c r="M75" s="149"/>
      <c r="N75" s="149"/>
      <c r="O75" s="149"/>
      <c r="P75" s="149"/>
      <c r="Q75" s="149"/>
      <c r="R75" s="149"/>
      <c r="S75" s="149"/>
      <c r="T75" s="149"/>
    </row>
    <row r="76">
      <c r="A76" s="148"/>
      <c r="B76" s="149"/>
      <c r="C76" s="149"/>
      <c r="D76" s="150"/>
      <c r="E76" s="149"/>
      <c r="F76" s="149"/>
      <c r="G76" s="149"/>
      <c r="H76" s="149"/>
      <c r="I76" s="149"/>
      <c r="J76" s="149"/>
      <c r="K76" s="149"/>
      <c r="L76" s="149"/>
      <c r="M76" s="149"/>
      <c r="N76" s="149"/>
      <c r="O76" s="149"/>
      <c r="P76" s="149"/>
      <c r="Q76" s="149"/>
      <c r="R76" s="149"/>
      <c r="S76" s="149"/>
      <c r="T76" s="149"/>
    </row>
    <row r="77">
      <c r="A77" s="148"/>
      <c r="B77" s="149"/>
      <c r="C77" s="149"/>
      <c r="D77" s="150"/>
      <c r="E77" s="149"/>
      <c r="F77" s="149"/>
      <c r="G77" s="149"/>
      <c r="H77" s="149"/>
      <c r="I77" s="149"/>
      <c r="J77" s="149"/>
      <c r="K77" s="149"/>
      <c r="L77" s="149"/>
      <c r="M77" s="149"/>
      <c r="N77" s="149"/>
      <c r="O77" s="149"/>
      <c r="P77" s="149"/>
      <c r="Q77" s="149"/>
      <c r="R77" s="149"/>
      <c r="S77" s="149"/>
      <c r="T77" s="149"/>
    </row>
    <row r="78">
      <c r="A78" s="148"/>
      <c r="B78" s="149"/>
      <c r="C78" s="149"/>
      <c r="D78" s="150"/>
      <c r="E78" s="149"/>
      <c r="F78" s="149"/>
      <c r="G78" s="149"/>
      <c r="H78" s="149"/>
      <c r="I78" s="149"/>
      <c r="J78" s="149"/>
      <c r="K78" s="149"/>
      <c r="L78" s="149"/>
      <c r="M78" s="149"/>
      <c r="N78" s="149"/>
      <c r="O78" s="149"/>
      <c r="P78" s="149"/>
      <c r="Q78" s="149"/>
      <c r="R78" s="149"/>
      <c r="S78" s="149"/>
      <c r="T78" s="149"/>
    </row>
    <row r="79">
      <c r="A79" s="148"/>
      <c r="B79" s="149"/>
      <c r="C79" s="149"/>
      <c r="D79" s="150"/>
      <c r="E79" s="149"/>
      <c r="F79" s="149"/>
      <c r="G79" s="149"/>
      <c r="H79" s="149"/>
      <c r="I79" s="149"/>
      <c r="J79" s="149"/>
      <c r="K79" s="149"/>
      <c r="L79" s="149"/>
      <c r="M79" s="149"/>
      <c r="N79" s="149"/>
      <c r="O79" s="149"/>
      <c r="P79" s="149"/>
      <c r="Q79" s="149"/>
      <c r="R79" s="149"/>
      <c r="S79" s="149"/>
      <c r="T79" s="149"/>
    </row>
    <row r="80">
      <c r="A80" s="148"/>
      <c r="B80" s="149"/>
      <c r="C80" s="149"/>
      <c r="D80" s="150"/>
      <c r="E80" s="149"/>
      <c r="F80" s="149"/>
      <c r="G80" s="149"/>
      <c r="H80" s="149"/>
      <c r="I80" s="149"/>
      <c r="J80" s="149"/>
      <c r="K80" s="149"/>
      <c r="L80" s="149"/>
      <c r="M80" s="149"/>
      <c r="N80" s="149"/>
      <c r="O80" s="149"/>
      <c r="P80" s="149"/>
      <c r="Q80" s="149"/>
      <c r="R80" s="149"/>
      <c r="S80" s="149"/>
      <c r="T80" s="149"/>
    </row>
    <row r="81">
      <c r="A81" s="148"/>
      <c r="B81" s="149"/>
      <c r="C81" s="149"/>
      <c r="D81" s="150"/>
      <c r="E81" s="149"/>
      <c r="F81" s="149"/>
      <c r="G81" s="149"/>
      <c r="H81" s="149"/>
      <c r="I81" s="149"/>
      <c r="J81" s="149"/>
      <c r="K81" s="149"/>
      <c r="L81" s="149"/>
      <c r="M81" s="149"/>
      <c r="N81" s="149"/>
      <c r="O81" s="149"/>
      <c r="P81" s="149"/>
      <c r="Q81" s="149"/>
      <c r="R81" s="149"/>
      <c r="S81" s="149"/>
      <c r="T81" s="149"/>
    </row>
    <row r="82">
      <c r="A82" s="148"/>
      <c r="B82" s="149"/>
      <c r="C82" s="149"/>
      <c r="D82" s="150"/>
      <c r="E82" s="149"/>
      <c r="F82" s="149"/>
      <c r="G82" s="149"/>
      <c r="H82" s="149"/>
      <c r="I82" s="149"/>
      <c r="J82" s="149"/>
      <c r="K82" s="149"/>
      <c r="L82" s="149"/>
      <c r="M82" s="149"/>
      <c r="N82" s="149"/>
      <c r="O82" s="149"/>
      <c r="P82" s="149"/>
      <c r="Q82" s="149"/>
      <c r="R82" s="149"/>
      <c r="S82" s="149"/>
      <c r="T82" s="149"/>
    </row>
    <row r="83">
      <c r="A83" s="148"/>
      <c r="B83" s="149"/>
      <c r="C83" s="149"/>
      <c r="D83" s="150"/>
      <c r="E83" s="149"/>
      <c r="F83" s="149"/>
      <c r="G83" s="149"/>
      <c r="H83" s="149"/>
      <c r="I83" s="149"/>
      <c r="J83" s="149"/>
      <c r="K83" s="149"/>
      <c r="L83" s="149"/>
      <c r="M83" s="149"/>
      <c r="N83" s="149"/>
      <c r="O83" s="149"/>
      <c r="P83" s="149"/>
      <c r="Q83" s="149"/>
      <c r="R83" s="149"/>
      <c r="S83" s="149"/>
      <c r="T83" s="149"/>
    </row>
    <row r="84">
      <c r="A84" s="148"/>
      <c r="B84" s="149"/>
      <c r="C84" s="149"/>
      <c r="D84" s="150"/>
      <c r="E84" s="149"/>
      <c r="F84" s="149"/>
      <c r="G84" s="149"/>
      <c r="H84" s="149"/>
      <c r="I84" s="149"/>
      <c r="J84" s="149"/>
      <c r="K84" s="149"/>
      <c r="L84" s="149"/>
      <c r="M84" s="149"/>
      <c r="N84" s="149"/>
      <c r="O84" s="149"/>
      <c r="P84" s="149"/>
      <c r="Q84" s="149"/>
      <c r="R84" s="149"/>
      <c r="S84" s="149"/>
      <c r="T84" s="149"/>
    </row>
    <row r="85">
      <c r="A85" s="148"/>
      <c r="B85" s="149"/>
      <c r="C85" s="149"/>
      <c r="D85" s="150"/>
      <c r="E85" s="149"/>
      <c r="F85" s="149"/>
      <c r="G85" s="149"/>
      <c r="H85" s="149"/>
      <c r="I85" s="149"/>
      <c r="J85" s="149"/>
      <c r="K85" s="149"/>
      <c r="L85" s="149"/>
      <c r="M85" s="149"/>
      <c r="N85" s="149"/>
      <c r="O85" s="149"/>
      <c r="P85" s="149"/>
      <c r="Q85" s="149"/>
      <c r="R85" s="149"/>
      <c r="S85" s="149"/>
      <c r="T85" s="149"/>
    </row>
    <row r="86">
      <c r="A86" s="148"/>
      <c r="B86" s="149"/>
      <c r="C86" s="149"/>
      <c r="D86" s="150"/>
      <c r="E86" s="149"/>
      <c r="F86" s="149"/>
      <c r="G86" s="149"/>
      <c r="H86" s="149"/>
      <c r="I86" s="149"/>
      <c r="J86" s="149"/>
      <c r="K86" s="149"/>
      <c r="L86" s="149"/>
      <c r="M86" s="149"/>
      <c r="N86" s="149"/>
      <c r="O86" s="149"/>
      <c r="P86" s="149"/>
      <c r="Q86" s="149"/>
      <c r="R86" s="149"/>
      <c r="S86" s="149"/>
      <c r="T86" s="149"/>
    </row>
    <row r="87">
      <c r="A87" s="148"/>
      <c r="B87" s="149"/>
      <c r="C87" s="149"/>
      <c r="D87" s="150"/>
      <c r="E87" s="149"/>
      <c r="F87" s="149"/>
      <c r="G87" s="149"/>
      <c r="H87" s="149"/>
      <c r="I87" s="149"/>
      <c r="J87" s="149"/>
      <c r="K87" s="149"/>
      <c r="L87" s="149"/>
      <c r="M87" s="149"/>
      <c r="N87" s="149"/>
      <c r="O87" s="149"/>
      <c r="P87" s="149"/>
      <c r="Q87" s="149"/>
      <c r="R87" s="149"/>
      <c r="S87" s="149"/>
      <c r="T87" s="149"/>
    </row>
    <row r="88">
      <c r="A88" s="148"/>
      <c r="B88" s="149"/>
      <c r="C88" s="149"/>
      <c r="D88" s="150"/>
      <c r="E88" s="149"/>
      <c r="F88" s="149"/>
      <c r="G88" s="149"/>
      <c r="H88" s="149"/>
      <c r="I88" s="149"/>
      <c r="J88" s="149"/>
      <c r="K88" s="149"/>
      <c r="L88" s="149"/>
      <c r="M88" s="149"/>
      <c r="N88" s="149"/>
      <c r="O88" s="149"/>
      <c r="P88" s="149"/>
      <c r="Q88" s="149"/>
      <c r="R88" s="149"/>
      <c r="S88" s="149"/>
      <c r="T88" s="149"/>
    </row>
    <row r="89">
      <c r="A89" s="148"/>
      <c r="B89" s="149"/>
      <c r="C89" s="149"/>
      <c r="D89" s="150"/>
      <c r="E89" s="149"/>
      <c r="F89" s="149"/>
      <c r="G89" s="149"/>
      <c r="H89" s="149"/>
      <c r="I89" s="149"/>
      <c r="J89" s="149"/>
      <c r="K89" s="149"/>
      <c r="L89" s="149"/>
      <c r="M89" s="149"/>
      <c r="N89" s="149"/>
      <c r="O89" s="149"/>
      <c r="P89" s="149"/>
      <c r="Q89" s="149"/>
      <c r="R89" s="149"/>
      <c r="S89" s="149"/>
      <c r="T89" s="149"/>
    </row>
    <row r="90">
      <c r="A90" s="148"/>
      <c r="B90" s="149"/>
      <c r="C90" s="149"/>
      <c r="D90" s="150"/>
      <c r="E90" s="149"/>
      <c r="F90" s="149"/>
      <c r="G90" s="149"/>
      <c r="H90" s="149"/>
      <c r="I90" s="149"/>
      <c r="J90" s="149"/>
      <c r="K90" s="149"/>
      <c r="L90" s="149"/>
      <c r="M90" s="149"/>
      <c r="N90" s="149"/>
      <c r="O90" s="149"/>
      <c r="P90" s="149"/>
      <c r="Q90" s="149"/>
      <c r="R90" s="149"/>
      <c r="S90" s="149"/>
      <c r="T90" s="149"/>
    </row>
    <row r="91">
      <c r="A91" s="148"/>
      <c r="B91" s="149"/>
      <c r="C91" s="149"/>
      <c r="D91" s="150"/>
      <c r="E91" s="149"/>
      <c r="F91" s="149"/>
      <c r="G91" s="149"/>
      <c r="H91" s="149"/>
      <c r="I91" s="149"/>
      <c r="J91" s="149"/>
      <c r="K91" s="149"/>
      <c r="L91" s="149"/>
      <c r="M91" s="149"/>
      <c r="N91" s="149"/>
      <c r="O91" s="149"/>
      <c r="P91" s="149"/>
      <c r="Q91" s="149"/>
      <c r="R91" s="149"/>
      <c r="S91" s="149"/>
      <c r="T91" s="149"/>
    </row>
    <row r="92">
      <c r="A92" s="148"/>
      <c r="B92" s="149"/>
      <c r="C92" s="149"/>
      <c r="D92" s="150"/>
      <c r="E92" s="149"/>
      <c r="F92" s="149"/>
      <c r="G92" s="149"/>
      <c r="H92" s="149"/>
      <c r="I92" s="149"/>
      <c r="J92" s="149"/>
      <c r="K92" s="149"/>
      <c r="L92" s="149"/>
      <c r="M92" s="149"/>
      <c r="N92" s="149"/>
      <c r="O92" s="149"/>
      <c r="P92" s="149"/>
      <c r="Q92" s="149"/>
      <c r="R92" s="149"/>
      <c r="S92" s="149"/>
      <c r="T92" s="149"/>
    </row>
    <row r="93">
      <c r="A93" s="148"/>
      <c r="B93" s="149"/>
      <c r="C93" s="149"/>
      <c r="D93" s="150"/>
      <c r="E93" s="149"/>
      <c r="F93" s="149"/>
      <c r="G93" s="149"/>
      <c r="H93" s="149"/>
      <c r="I93" s="149"/>
      <c r="J93" s="149"/>
      <c r="K93" s="149"/>
      <c r="L93" s="149"/>
      <c r="M93" s="149"/>
      <c r="N93" s="149"/>
      <c r="O93" s="149"/>
      <c r="P93" s="149"/>
      <c r="Q93" s="149"/>
      <c r="R93" s="149"/>
      <c r="S93" s="149"/>
      <c r="T93" s="149"/>
    </row>
    <row r="94">
      <c r="A94" s="148"/>
      <c r="B94" s="149"/>
      <c r="C94" s="149"/>
      <c r="D94" s="150"/>
      <c r="E94" s="149"/>
      <c r="F94" s="149"/>
      <c r="G94" s="149"/>
      <c r="H94" s="149"/>
      <c r="I94" s="149"/>
      <c r="J94" s="149"/>
      <c r="K94" s="149"/>
      <c r="L94" s="149"/>
      <c r="M94" s="149"/>
      <c r="N94" s="149"/>
      <c r="O94" s="149"/>
      <c r="P94" s="149"/>
      <c r="Q94" s="149"/>
      <c r="R94" s="149"/>
      <c r="S94" s="149"/>
      <c r="T94" s="149"/>
    </row>
    <row r="95">
      <c r="A95" s="148"/>
      <c r="B95" s="149"/>
      <c r="C95" s="149"/>
      <c r="D95" s="150"/>
      <c r="E95" s="149"/>
      <c r="F95" s="149"/>
      <c r="G95" s="149"/>
      <c r="H95" s="149"/>
      <c r="I95" s="149"/>
      <c r="J95" s="149"/>
      <c r="K95" s="149"/>
      <c r="L95" s="149"/>
      <c r="M95" s="149"/>
      <c r="N95" s="149"/>
      <c r="O95" s="149"/>
      <c r="P95" s="149"/>
      <c r="Q95" s="149"/>
      <c r="R95" s="149"/>
      <c r="S95" s="149"/>
      <c r="T95" s="149"/>
    </row>
    <row r="96">
      <c r="A96" s="148"/>
      <c r="B96" s="149"/>
      <c r="C96" s="149"/>
      <c r="D96" s="150"/>
      <c r="E96" s="149"/>
      <c r="F96" s="149"/>
      <c r="G96" s="149"/>
      <c r="H96" s="149"/>
      <c r="I96" s="149"/>
      <c r="J96" s="149"/>
      <c r="K96" s="149"/>
      <c r="L96" s="149"/>
      <c r="M96" s="149"/>
      <c r="N96" s="149"/>
      <c r="O96" s="149"/>
      <c r="P96" s="149"/>
      <c r="Q96" s="149"/>
      <c r="R96" s="149"/>
      <c r="S96" s="149"/>
      <c r="T96" s="149"/>
    </row>
    <row r="97">
      <c r="A97" s="148"/>
      <c r="B97" s="149"/>
      <c r="C97" s="149"/>
      <c r="D97" s="150"/>
      <c r="E97" s="149"/>
      <c r="F97" s="149"/>
      <c r="G97" s="149"/>
      <c r="H97" s="149"/>
      <c r="I97" s="149"/>
      <c r="J97" s="149"/>
      <c r="K97" s="149"/>
      <c r="L97" s="149"/>
      <c r="M97" s="149"/>
      <c r="N97" s="149"/>
      <c r="O97" s="149"/>
      <c r="P97" s="149"/>
      <c r="Q97" s="149"/>
      <c r="R97" s="149"/>
      <c r="S97" s="149"/>
      <c r="T97" s="149"/>
    </row>
    <row r="98">
      <c r="A98" s="148"/>
      <c r="B98" s="149"/>
      <c r="C98" s="149"/>
      <c r="D98" s="150"/>
      <c r="E98" s="149"/>
      <c r="F98" s="149"/>
      <c r="G98" s="149"/>
      <c r="H98" s="149"/>
      <c r="I98" s="149"/>
      <c r="J98" s="149"/>
      <c r="K98" s="149"/>
      <c r="L98" s="149"/>
      <c r="M98" s="149"/>
      <c r="N98" s="149"/>
      <c r="O98" s="149"/>
      <c r="P98" s="149"/>
      <c r="Q98" s="149"/>
      <c r="R98" s="149"/>
      <c r="S98" s="149"/>
      <c r="T98" s="149"/>
    </row>
    <row r="99">
      <c r="A99" s="148"/>
      <c r="B99" s="149"/>
      <c r="C99" s="149"/>
      <c r="D99" s="150"/>
      <c r="E99" s="149"/>
      <c r="F99" s="149"/>
      <c r="G99" s="149"/>
      <c r="H99" s="149"/>
      <c r="I99" s="149"/>
      <c r="J99" s="149"/>
      <c r="K99" s="149"/>
      <c r="L99" s="149"/>
      <c r="M99" s="149"/>
      <c r="N99" s="149"/>
      <c r="O99" s="149"/>
      <c r="P99" s="149"/>
      <c r="Q99" s="149"/>
      <c r="R99" s="149"/>
      <c r="S99" s="149"/>
      <c r="T99" s="149"/>
    </row>
    <row r="100">
      <c r="A100" s="148"/>
      <c r="B100" s="149"/>
      <c r="C100" s="149"/>
      <c r="D100" s="150"/>
      <c r="E100" s="149"/>
      <c r="F100" s="149"/>
      <c r="G100" s="149"/>
      <c r="H100" s="149"/>
      <c r="I100" s="149"/>
      <c r="J100" s="149"/>
      <c r="K100" s="149"/>
      <c r="L100" s="149"/>
      <c r="M100" s="149"/>
      <c r="N100" s="149"/>
      <c r="O100" s="149"/>
      <c r="P100" s="149"/>
      <c r="Q100" s="149"/>
      <c r="R100" s="149"/>
      <c r="S100" s="149"/>
      <c r="T100" s="149"/>
    </row>
    <row r="101">
      <c r="A101" s="148"/>
      <c r="B101" s="149"/>
      <c r="C101" s="149"/>
      <c r="D101" s="150"/>
      <c r="E101" s="149"/>
      <c r="F101" s="149"/>
      <c r="G101" s="149"/>
      <c r="H101" s="149"/>
      <c r="I101" s="149"/>
      <c r="J101" s="149"/>
      <c r="K101" s="149"/>
      <c r="L101" s="149"/>
      <c r="M101" s="149"/>
      <c r="N101" s="149"/>
      <c r="O101" s="149"/>
      <c r="P101" s="149"/>
      <c r="Q101" s="149"/>
      <c r="R101" s="149"/>
      <c r="S101" s="149"/>
      <c r="T101" s="149"/>
    </row>
    <row r="102">
      <c r="A102" s="148"/>
      <c r="B102" s="149"/>
      <c r="C102" s="149"/>
      <c r="D102" s="150"/>
      <c r="E102" s="149"/>
      <c r="F102" s="149"/>
      <c r="G102" s="149"/>
      <c r="H102" s="149"/>
      <c r="I102" s="149"/>
      <c r="J102" s="149"/>
      <c r="K102" s="149"/>
      <c r="L102" s="149"/>
      <c r="M102" s="149"/>
      <c r="N102" s="149"/>
      <c r="O102" s="149"/>
      <c r="P102" s="149"/>
      <c r="Q102" s="149"/>
      <c r="R102" s="149"/>
      <c r="S102" s="149"/>
      <c r="T102" s="149"/>
    </row>
    <row r="103">
      <c r="A103" s="148"/>
      <c r="B103" s="149"/>
      <c r="C103" s="149"/>
      <c r="D103" s="150"/>
      <c r="E103" s="149"/>
      <c r="F103" s="149"/>
      <c r="G103" s="149"/>
      <c r="H103" s="149"/>
      <c r="I103" s="149"/>
      <c r="J103" s="149"/>
      <c r="K103" s="149"/>
      <c r="L103" s="149"/>
      <c r="M103" s="149"/>
      <c r="N103" s="149"/>
      <c r="O103" s="149"/>
      <c r="P103" s="149"/>
      <c r="Q103" s="149"/>
      <c r="R103" s="149"/>
      <c r="S103" s="149"/>
      <c r="T103" s="149"/>
    </row>
    <row r="104">
      <c r="A104" s="148"/>
      <c r="B104" s="149"/>
      <c r="C104" s="149"/>
      <c r="D104" s="150"/>
      <c r="E104" s="149"/>
      <c r="F104" s="149"/>
      <c r="G104" s="149"/>
      <c r="H104" s="149"/>
      <c r="I104" s="149"/>
      <c r="J104" s="149"/>
      <c r="K104" s="149"/>
      <c r="L104" s="149"/>
      <c r="M104" s="149"/>
      <c r="N104" s="149"/>
      <c r="O104" s="149"/>
      <c r="P104" s="149"/>
      <c r="Q104" s="149"/>
      <c r="R104" s="149"/>
      <c r="S104" s="149"/>
      <c r="T104" s="149"/>
    </row>
    <row r="105">
      <c r="A105" s="148"/>
      <c r="B105" s="149"/>
      <c r="C105" s="149"/>
      <c r="D105" s="150"/>
      <c r="E105" s="149"/>
      <c r="F105" s="149"/>
      <c r="G105" s="149"/>
      <c r="H105" s="149"/>
      <c r="I105" s="149"/>
      <c r="J105" s="149"/>
      <c r="K105" s="149"/>
      <c r="L105" s="149"/>
      <c r="M105" s="149"/>
      <c r="N105" s="149"/>
      <c r="O105" s="149"/>
      <c r="P105" s="149"/>
      <c r="Q105" s="149"/>
      <c r="R105" s="149"/>
      <c r="S105" s="149"/>
      <c r="T105" s="149"/>
    </row>
    <row r="106">
      <c r="A106" s="148"/>
      <c r="B106" s="149"/>
      <c r="C106" s="149"/>
      <c r="D106" s="150"/>
      <c r="E106" s="149"/>
      <c r="F106" s="149"/>
      <c r="G106" s="149"/>
      <c r="H106" s="149"/>
      <c r="I106" s="149"/>
      <c r="J106" s="149"/>
      <c r="K106" s="149"/>
      <c r="L106" s="149"/>
      <c r="M106" s="149"/>
      <c r="N106" s="149"/>
      <c r="O106" s="149"/>
      <c r="P106" s="149"/>
      <c r="Q106" s="149"/>
      <c r="R106" s="149"/>
      <c r="S106" s="149"/>
      <c r="T106" s="149"/>
    </row>
    <row r="107">
      <c r="A107" s="148"/>
      <c r="B107" s="149"/>
      <c r="C107" s="149"/>
      <c r="D107" s="150"/>
      <c r="E107" s="149"/>
      <c r="F107" s="149"/>
      <c r="G107" s="149"/>
      <c r="H107" s="149"/>
      <c r="I107" s="149"/>
      <c r="J107" s="149"/>
      <c r="K107" s="149"/>
      <c r="L107" s="149"/>
      <c r="M107" s="149"/>
      <c r="N107" s="149"/>
      <c r="O107" s="149"/>
      <c r="P107" s="149"/>
      <c r="Q107" s="149"/>
      <c r="R107" s="149"/>
      <c r="S107" s="149"/>
      <c r="T107" s="149"/>
    </row>
    <row r="108">
      <c r="A108" s="148"/>
      <c r="B108" s="149"/>
      <c r="C108" s="149"/>
      <c r="D108" s="150"/>
      <c r="E108" s="149"/>
      <c r="F108" s="149"/>
      <c r="G108" s="149"/>
      <c r="H108" s="149"/>
      <c r="I108" s="149"/>
      <c r="J108" s="149"/>
      <c r="K108" s="149"/>
      <c r="L108" s="149"/>
      <c r="M108" s="149"/>
      <c r="N108" s="149"/>
      <c r="O108" s="149"/>
      <c r="P108" s="149"/>
      <c r="Q108" s="149"/>
      <c r="R108" s="149"/>
      <c r="S108" s="149"/>
      <c r="T108" s="149"/>
    </row>
    <row r="109">
      <c r="A109" s="148"/>
      <c r="B109" s="149"/>
      <c r="C109" s="149"/>
      <c r="D109" s="150"/>
      <c r="E109" s="149"/>
      <c r="F109" s="149"/>
      <c r="G109" s="149"/>
      <c r="H109" s="149"/>
      <c r="I109" s="149"/>
      <c r="J109" s="149"/>
      <c r="K109" s="149"/>
      <c r="L109" s="149"/>
      <c r="M109" s="149"/>
      <c r="N109" s="149"/>
      <c r="O109" s="149"/>
      <c r="P109" s="149"/>
      <c r="Q109" s="149"/>
      <c r="R109" s="149"/>
      <c r="S109" s="149"/>
      <c r="T109" s="149"/>
    </row>
    <row r="110">
      <c r="A110" s="148"/>
      <c r="B110" s="149"/>
      <c r="C110" s="149"/>
      <c r="D110" s="150"/>
      <c r="E110" s="149"/>
      <c r="F110" s="149"/>
      <c r="G110" s="149"/>
      <c r="H110" s="149"/>
      <c r="I110" s="149"/>
      <c r="J110" s="149"/>
      <c r="K110" s="149"/>
      <c r="L110" s="149"/>
      <c r="M110" s="149"/>
      <c r="N110" s="149"/>
      <c r="O110" s="149"/>
      <c r="P110" s="149"/>
      <c r="Q110" s="149"/>
      <c r="R110" s="149"/>
      <c r="S110" s="149"/>
      <c r="T110" s="149"/>
    </row>
    <row r="111">
      <c r="A111" s="148"/>
      <c r="B111" s="149"/>
      <c r="C111" s="149"/>
      <c r="D111" s="150"/>
      <c r="E111" s="149"/>
      <c r="F111" s="149"/>
      <c r="G111" s="149"/>
      <c r="H111" s="149"/>
      <c r="I111" s="149"/>
      <c r="J111" s="149"/>
      <c r="K111" s="149"/>
      <c r="L111" s="149"/>
      <c r="M111" s="149"/>
      <c r="N111" s="149"/>
      <c r="O111" s="149"/>
      <c r="P111" s="149"/>
      <c r="Q111" s="149"/>
      <c r="R111" s="149"/>
      <c r="S111" s="149"/>
      <c r="T111" s="149"/>
    </row>
    <row r="112">
      <c r="A112" s="148"/>
      <c r="B112" s="149"/>
      <c r="C112" s="149"/>
      <c r="D112" s="150"/>
      <c r="E112" s="149"/>
      <c r="F112" s="149"/>
      <c r="G112" s="149"/>
      <c r="H112" s="149"/>
      <c r="I112" s="149"/>
      <c r="J112" s="149"/>
      <c r="K112" s="149"/>
      <c r="L112" s="149"/>
      <c r="M112" s="149"/>
      <c r="N112" s="149"/>
      <c r="O112" s="149"/>
      <c r="P112" s="149"/>
      <c r="Q112" s="149"/>
      <c r="R112" s="149"/>
      <c r="S112" s="149"/>
      <c r="T112" s="149"/>
    </row>
    <row r="113">
      <c r="A113" s="148"/>
      <c r="B113" s="149"/>
      <c r="C113" s="149"/>
      <c r="D113" s="150"/>
      <c r="E113" s="149"/>
      <c r="F113" s="149"/>
      <c r="G113" s="149"/>
      <c r="H113" s="149"/>
      <c r="I113" s="149"/>
      <c r="J113" s="149"/>
      <c r="K113" s="149"/>
      <c r="L113" s="149"/>
      <c r="M113" s="149"/>
      <c r="N113" s="149"/>
      <c r="O113" s="149"/>
      <c r="P113" s="149"/>
      <c r="Q113" s="149"/>
      <c r="R113" s="149"/>
      <c r="S113" s="149"/>
      <c r="T113" s="149"/>
    </row>
    <row r="114">
      <c r="A114" s="148"/>
      <c r="B114" s="149"/>
      <c r="C114" s="149"/>
      <c r="D114" s="150"/>
      <c r="E114" s="149"/>
      <c r="F114" s="149"/>
      <c r="G114" s="149"/>
      <c r="H114" s="149"/>
      <c r="I114" s="149"/>
      <c r="J114" s="149"/>
      <c r="K114" s="149"/>
      <c r="L114" s="149"/>
      <c r="M114" s="149"/>
      <c r="N114" s="149"/>
      <c r="O114" s="149"/>
      <c r="P114" s="149"/>
      <c r="Q114" s="149"/>
      <c r="R114" s="149"/>
      <c r="S114" s="149"/>
      <c r="T114" s="149"/>
    </row>
    <row r="115">
      <c r="A115" s="148"/>
      <c r="B115" s="149"/>
      <c r="C115" s="149"/>
      <c r="D115" s="150"/>
      <c r="E115" s="149"/>
      <c r="F115" s="149"/>
      <c r="G115" s="149"/>
      <c r="H115" s="149"/>
      <c r="I115" s="149"/>
      <c r="J115" s="149"/>
      <c r="K115" s="149"/>
      <c r="L115" s="149"/>
      <c r="M115" s="149"/>
      <c r="N115" s="149"/>
      <c r="O115" s="149"/>
      <c r="P115" s="149"/>
      <c r="Q115" s="149"/>
      <c r="R115" s="149"/>
      <c r="S115" s="149"/>
      <c r="T115" s="149"/>
    </row>
    <row r="116">
      <c r="A116" s="148"/>
      <c r="B116" s="149"/>
      <c r="C116" s="149"/>
      <c r="D116" s="150"/>
      <c r="E116" s="149"/>
      <c r="F116" s="149"/>
      <c r="G116" s="149"/>
      <c r="H116" s="149"/>
      <c r="I116" s="149"/>
      <c r="J116" s="149"/>
      <c r="K116" s="149"/>
      <c r="L116" s="149"/>
      <c r="M116" s="149"/>
      <c r="N116" s="149"/>
      <c r="O116" s="149"/>
      <c r="P116" s="149"/>
      <c r="Q116" s="149"/>
      <c r="R116" s="149"/>
      <c r="S116" s="149"/>
      <c r="T116" s="149"/>
    </row>
    <row r="117">
      <c r="A117" s="148"/>
      <c r="B117" s="149"/>
      <c r="C117" s="149"/>
      <c r="D117" s="150"/>
      <c r="E117" s="149"/>
      <c r="F117" s="149"/>
      <c r="G117" s="149"/>
      <c r="H117" s="149"/>
      <c r="I117" s="149"/>
      <c r="J117" s="149"/>
      <c r="K117" s="149"/>
      <c r="L117" s="149"/>
      <c r="M117" s="149"/>
      <c r="N117" s="149"/>
      <c r="O117" s="149"/>
      <c r="P117" s="149"/>
      <c r="Q117" s="149"/>
      <c r="R117" s="149"/>
      <c r="S117" s="149"/>
      <c r="T117" s="149"/>
    </row>
    <row r="118">
      <c r="A118" s="148"/>
      <c r="B118" s="149"/>
      <c r="C118" s="149"/>
      <c r="D118" s="150"/>
      <c r="E118" s="149"/>
      <c r="F118" s="149"/>
      <c r="G118" s="149"/>
      <c r="H118" s="149"/>
      <c r="I118" s="149"/>
      <c r="J118" s="149"/>
      <c r="K118" s="149"/>
      <c r="L118" s="149"/>
      <c r="M118" s="149"/>
      <c r="N118" s="149"/>
      <c r="O118" s="149"/>
      <c r="P118" s="149"/>
      <c r="Q118" s="149"/>
      <c r="R118" s="149"/>
      <c r="S118" s="149"/>
      <c r="T118" s="149"/>
    </row>
    <row r="119">
      <c r="A119" s="148"/>
      <c r="B119" s="149"/>
      <c r="C119" s="149"/>
      <c r="D119" s="150"/>
      <c r="E119" s="149"/>
      <c r="F119" s="149"/>
      <c r="G119" s="149"/>
      <c r="H119" s="149"/>
      <c r="I119" s="149"/>
      <c r="J119" s="149"/>
      <c r="K119" s="149"/>
      <c r="L119" s="149"/>
      <c r="M119" s="149"/>
      <c r="N119" s="149"/>
      <c r="O119" s="149"/>
      <c r="P119" s="149"/>
      <c r="Q119" s="149"/>
      <c r="R119" s="149"/>
      <c r="S119" s="149"/>
      <c r="T119" s="149"/>
    </row>
    <row r="120">
      <c r="A120" s="148"/>
      <c r="B120" s="149"/>
      <c r="C120" s="149"/>
      <c r="D120" s="150"/>
      <c r="E120" s="149"/>
      <c r="F120" s="149"/>
      <c r="G120" s="149"/>
      <c r="H120" s="149"/>
      <c r="I120" s="149"/>
      <c r="J120" s="149"/>
      <c r="K120" s="149"/>
      <c r="L120" s="149"/>
      <c r="M120" s="149"/>
      <c r="N120" s="149"/>
      <c r="O120" s="149"/>
      <c r="P120" s="149"/>
      <c r="Q120" s="149"/>
      <c r="R120" s="149"/>
      <c r="S120" s="149"/>
      <c r="T120" s="149"/>
    </row>
    <row r="121">
      <c r="A121" s="148"/>
      <c r="B121" s="149"/>
      <c r="C121" s="149"/>
      <c r="D121" s="150"/>
      <c r="E121" s="149"/>
      <c r="F121" s="149"/>
      <c r="G121" s="149"/>
      <c r="H121" s="149"/>
      <c r="I121" s="149"/>
      <c r="J121" s="149"/>
      <c r="K121" s="149"/>
      <c r="L121" s="149"/>
      <c r="M121" s="149"/>
      <c r="N121" s="149"/>
      <c r="O121" s="149"/>
      <c r="P121" s="149"/>
      <c r="Q121" s="149"/>
      <c r="R121" s="149"/>
      <c r="S121" s="149"/>
      <c r="T121" s="149"/>
    </row>
    <row r="122">
      <c r="A122" s="148"/>
      <c r="B122" s="149"/>
      <c r="C122" s="149"/>
      <c r="D122" s="150"/>
      <c r="E122" s="149"/>
      <c r="F122" s="149"/>
      <c r="G122" s="149"/>
      <c r="H122" s="149"/>
      <c r="I122" s="149"/>
      <c r="J122" s="149"/>
      <c r="K122" s="149"/>
      <c r="L122" s="149"/>
      <c r="M122" s="149"/>
      <c r="N122" s="149"/>
      <c r="O122" s="149"/>
      <c r="P122" s="149"/>
      <c r="Q122" s="149"/>
      <c r="R122" s="149"/>
      <c r="S122" s="149"/>
      <c r="T122" s="149"/>
    </row>
    <row r="123">
      <c r="A123" s="148"/>
      <c r="B123" s="149"/>
      <c r="C123" s="149"/>
      <c r="D123" s="150"/>
      <c r="E123" s="149"/>
      <c r="F123" s="149"/>
      <c r="G123" s="149"/>
      <c r="H123" s="149"/>
      <c r="I123" s="149"/>
      <c r="J123" s="149"/>
      <c r="K123" s="149"/>
      <c r="L123" s="149"/>
      <c r="M123" s="149"/>
      <c r="N123" s="149"/>
      <c r="O123" s="149"/>
      <c r="P123" s="149"/>
      <c r="Q123" s="149"/>
      <c r="R123" s="149"/>
      <c r="S123" s="149"/>
      <c r="T123" s="149"/>
    </row>
    <row r="124">
      <c r="A124" s="148"/>
      <c r="B124" s="149"/>
      <c r="C124" s="149"/>
      <c r="D124" s="150"/>
      <c r="E124" s="149"/>
      <c r="F124" s="149"/>
      <c r="G124" s="149"/>
      <c r="H124" s="149"/>
      <c r="I124" s="149"/>
      <c r="J124" s="149"/>
      <c r="K124" s="149"/>
      <c r="L124" s="149"/>
      <c r="M124" s="149"/>
      <c r="N124" s="149"/>
      <c r="O124" s="149"/>
      <c r="P124" s="149"/>
      <c r="Q124" s="149"/>
      <c r="R124" s="149"/>
      <c r="S124" s="149"/>
      <c r="T124" s="149"/>
    </row>
    <row r="125">
      <c r="A125" s="148"/>
      <c r="B125" s="149"/>
      <c r="C125" s="149"/>
      <c r="D125" s="150"/>
      <c r="E125" s="149"/>
      <c r="F125" s="149"/>
      <c r="G125" s="149"/>
      <c r="H125" s="149"/>
      <c r="I125" s="149"/>
      <c r="J125" s="149"/>
      <c r="K125" s="149"/>
      <c r="L125" s="149"/>
      <c r="M125" s="149"/>
      <c r="N125" s="149"/>
      <c r="O125" s="149"/>
      <c r="P125" s="149"/>
      <c r="Q125" s="149"/>
      <c r="R125" s="149"/>
      <c r="S125" s="149"/>
      <c r="T125" s="149"/>
    </row>
    <row r="126">
      <c r="A126" s="148"/>
      <c r="B126" s="149"/>
      <c r="C126" s="149"/>
      <c r="D126" s="150"/>
      <c r="E126" s="149"/>
      <c r="F126" s="149"/>
      <c r="G126" s="149"/>
      <c r="H126" s="149"/>
      <c r="I126" s="149"/>
      <c r="J126" s="149"/>
      <c r="K126" s="149"/>
      <c r="L126" s="149"/>
      <c r="M126" s="149"/>
      <c r="N126" s="149"/>
      <c r="O126" s="149"/>
      <c r="P126" s="149"/>
      <c r="Q126" s="149"/>
      <c r="R126" s="149"/>
      <c r="S126" s="149"/>
      <c r="T126" s="149"/>
    </row>
    <row r="127">
      <c r="A127" s="148"/>
      <c r="B127" s="149"/>
      <c r="C127" s="149"/>
      <c r="D127" s="150"/>
      <c r="E127" s="149"/>
      <c r="F127" s="149"/>
      <c r="G127" s="149"/>
      <c r="H127" s="149"/>
      <c r="I127" s="149"/>
      <c r="J127" s="149"/>
      <c r="K127" s="149"/>
      <c r="L127" s="149"/>
      <c r="M127" s="149"/>
      <c r="N127" s="149"/>
      <c r="O127" s="149"/>
      <c r="P127" s="149"/>
      <c r="Q127" s="149"/>
      <c r="R127" s="149"/>
      <c r="S127" s="149"/>
      <c r="T127" s="149"/>
    </row>
    <row r="128">
      <c r="A128" s="148"/>
      <c r="B128" s="149"/>
      <c r="C128" s="149"/>
      <c r="D128" s="150"/>
      <c r="E128" s="149"/>
      <c r="F128" s="149"/>
      <c r="G128" s="149"/>
      <c r="H128" s="149"/>
      <c r="I128" s="149"/>
      <c r="J128" s="149"/>
      <c r="K128" s="149"/>
      <c r="L128" s="149"/>
      <c r="M128" s="149"/>
      <c r="N128" s="149"/>
      <c r="O128" s="149"/>
      <c r="P128" s="149"/>
      <c r="Q128" s="149"/>
      <c r="R128" s="149"/>
      <c r="S128" s="149"/>
      <c r="T128" s="149"/>
    </row>
    <row r="129">
      <c r="A129" s="148"/>
      <c r="B129" s="149"/>
      <c r="C129" s="149"/>
      <c r="D129" s="150"/>
      <c r="E129" s="149"/>
      <c r="F129" s="149"/>
      <c r="G129" s="149"/>
      <c r="H129" s="149"/>
      <c r="I129" s="149"/>
      <c r="J129" s="149"/>
      <c r="K129" s="149"/>
      <c r="L129" s="149"/>
      <c r="M129" s="149"/>
      <c r="N129" s="149"/>
      <c r="O129" s="149"/>
      <c r="P129" s="149"/>
      <c r="Q129" s="149"/>
      <c r="R129" s="149"/>
      <c r="S129" s="149"/>
      <c r="T129" s="149"/>
    </row>
    <row r="130">
      <c r="A130" s="148"/>
      <c r="B130" s="149"/>
      <c r="C130" s="149"/>
      <c r="D130" s="150"/>
      <c r="E130" s="149"/>
      <c r="F130" s="149"/>
      <c r="G130" s="149"/>
      <c r="H130" s="149"/>
      <c r="I130" s="149"/>
      <c r="J130" s="149"/>
      <c r="K130" s="149"/>
      <c r="L130" s="149"/>
      <c r="M130" s="149"/>
      <c r="N130" s="149"/>
      <c r="O130" s="149"/>
      <c r="P130" s="149"/>
      <c r="Q130" s="149"/>
      <c r="R130" s="149"/>
      <c r="S130" s="149"/>
      <c r="T130" s="149"/>
    </row>
    <row r="131">
      <c r="A131" s="148"/>
      <c r="B131" s="149"/>
      <c r="C131" s="149"/>
      <c r="D131" s="150"/>
      <c r="E131" s="149"/>
      <c r="F131" s="149"/>
      <c r="G131" s="149"/>
      <c r="H131" s="149"/>
      <c r="I131" s="149"/>
      <c r="J131" s="149"/>
      <c r="K131" s="149"/>
      <c r="L131" s="149"/>
      <c r="M131" s="149"/>
      <c r="N131" s="149"/>
      <c r="O131" s="149"/>
      <c r="P131" s="149"/>
      <c r="Q131" s="149"/>
      <c r="R131" s="149"/>
      <c r="S131" s="149"/>
      <c r="T131" s="149"/>
    </row>
    <row r="132">
      <c r="A132" s="148"/>
      <c r="B132" s="149"/>
      <c r="C132" s="149"/>
      <c r="D132" s="150"/>
      <c r="E132" s="149"/>
      <c r="F132" s="149"/>
      <c r="G132" s="149"/>
      <c r="H132" s="149"/>
      <c r="I132" s="149"/>
      <c r="J132" s="149"/>
      <c r="K132" s="149"/>
      <c r="L132" s="149"/>
      <c r="M132" s="149"/>
      <c r="N132" s="149"/>
      <c r="O132" s="149"/>
      <c r="P132" s="149"/>
      <c r="Q132" s="149"/>
      <c r="R132" s="149"/>
      <c r="S132" s="149"/>
      <c r="T132" s="149"/>
    </row>
    <row r="133">
      <c r="A133" s="148"/>
      <c r="B133" s="149"/>
      <c r="C133" s="149"/>
      <c r="D133" s="150"/>
      <c r="E133" s="149"/>
      <c r="F133" s="149"/>
      <c r="G133" s="149"/>
      <c r="H133" s="149"/>
      <c r="I133" s="149"/>
      <c r="J133" s="149"/>
      <c r="K133" s="149"/>
      <c r="L133" s="149"/>
      <c r="M133" s="149"/>
      <c r="N133" s="149"/>
      <c r="O133" s="149"/>
      <c r="P133" s="149"/>
      <c r="Q133" s="149"/>
      <c r="R133" s="149"/>
      <c r="S133" s="149"/>
      <c r="T133" s="149"/>
    </row>
    <row r="134">
      <c r="A134" s="148"/>
      <c r="B134" s="149"/>
      <c r="C134" s="149"/>
      <c r="D134" s="150"/>
      <c r="E134" s="149"/>
      <c r="F134" s="149"/>
      <c r="G134" s="149"/>
      <c r="H134" s="149"/>
      <c r="I134" s="149"/>
      <c r="J134" s="149"/>
      <c r="K134" s="149"/>
      <c r="L134" s="149"/>
      <c r="M134" s="149"/>
      <c r="N134" s="149"/>
      <c r="O134" s="149"/>
      <c r="P134" s="149"/>
      <c r="Q134" s="149"/>
      <c r="R134" s="149"/>
      <c r="S134" s="149"/>
      <c r="T134" s="149"/>
    </row>
    <row r="135">
      <c r="A135" s="148"/>
      <c r="B135" s="149"/>
      <c r="C135" s="149"/>
      <c r="D135" s="150"/>
      <c r="E135" s="149"/>
      <c r="F135" s="149"/>
      <c r="G135" s="149"/>
      <c r="H135" s="149"/>
      <c r="I135" s="149"/>
      <c r="J135" s="149"/>
      <c r="K135" s="149"/>
      <c r="L135" s="149"/>
      <c r="M135" s="149"/>
      <c r="N135" s="149"/>
      <c r="O135" s="149"/>
      <c r="P135" s="149"/>
      <c r="Q135" s="149"/>
      <c r="R135" s="149"/>
      <c r="S135" s="149"/>
      <c r="T135" s="149"/>
    </row>
    <row r="136">
      <c r="A136" s="148"/>
      <c r="B136" s="149"/>
      <c r="C136" s="149"/>
      <c r="D136" s="150"/>
      <c r="E136" s="149"/>
      <c r="F136" s="149"/>
      <c r="G136" s="149"/>
      <c r="H136" s="149"/>
      <c r="I136" s="149"/>
      <c r="J136" s="149"/>
      <c r="K136" s="149"/>
      <c r="L136" s="149"/>
      <c r="M136" s="149"/>
      <c r="N136" s="149"/>
      <c r="O136" s="149"/>
      <c r="P136" s="149"/>
      <c r="Q136" s="149"/>
      <c r="R136" s="149"/>
      <c r="S136" s="149"/>
      <c r="T136" s="149"/>
    </row>
    <row r="137">
      <c r="A137" s="148"/>
      <c r="B137" s="149"/>
      <c r="C137" s="149"/>
      <c r="D137" s="150"/>
      <c r="E137" s="149"/>
      <c r="F137" s="149"/>
      <c r="G137" s="149"/>
      <c r="H137" s="149"/>
      <c r="I137" s="149"/>
      <c r="J137" s="149"/>
      <c r="K137" s="149"/>
      <c r="L137" s="149"/>
      <c r="M137" s="149"/>
      <c r="N137" s="149"/>
      <c r="O137" s="149"/>
      <c r="P137" s="149"/>
      <c r="Q137" s="149"/>
      <c r="R137" s="149"/>
      <c r="S137" s="149"/>
      <c r="T137" s="149"/>
    </row>
    <row r="138">
      <c r="A138" s="148"/>
      <c r="B138" s="149"/>
      <c r="C138" s="149"/>
      <c r="D138" s="150"/>
      <c r="E138" s="149"/>
      <c r="F138" s="149"/>
      <c r="G138" s="149"/>
      <c r="H138" s="149"/>
      <c r="I138" s="149"/>
      <c r="J138" s="149"/>
      <c r="K138" s="149"/>
      <c r="L138" s="149"/>
      <c r="M138" s="149"/>
      <c r="N138" s="149"/>
      <c r="O138" s="149"/>
      <c r="P138" s="149"/>
      <c r="Q138" s="149"/>
      <c r="R138" s="149"/>
      <c r="S138" s="149"/>
      <c r="T138" s="149"/>
    </row>
    <row r="139">
      <c r="A139" s="148"/>
      <c r="B139" s="149"/>
      <c r="C139" s="149"/>
      <c r="D139" s="150"/>
      <c r="E139" s="149"/>
      <c r="F139" s="149"/>
      <c r="G139" s="149"/>
      <c r="H139" s="149"/>
      <c r="I139" s="149"/>
      <c r="J139" s="149"/>
      <c r="K139" s="149"/>
      <c r="L139" s="149"/>
      <c r="M139" s="149"/>
      <c r="N139" s="149"/>
      <c r="O139" s="149"/>
      <c r="P139" s="149"/>
      <c r="Q139" s="149"/>
      <c r="R139" s="149"/>
      <c r="S139" s="149"/>
      <c r="T139" s="149"/>
    </row>
    <row r="140">
      <c r="A140" s="148"/>
      <c r="B140" s="149"/>
      <c r="C140" s="149"/>
      <c r="D140" s="150"/>
      <c r="E140" s="149"/>
      <c r="F140" s="149"/>
      <c r="G140" s="149"/>
      <c r="H140" s="149"/>
      <c r="I140" s="149"/>
      <c r="J140" s="149"/>
      <c r="K140" s="149"/>
      <c r="L140" s="149"/>
      <c r="M140" s="149"/>
      <c r="N140" s="149"/>
      <c r="O140" s="149"/>
      <c r="P140" s="149"/>
      <c r="Q140" s="149"/>
      <c r="R140" s="149"/>
      <c r="S140" s="149"/>
      <c r="T140" s="149"/>
    </row>
    <row r="141">
      <c r="A141" s="148"/>
      <c r="B141" s="149"/>
      <c r="C141" s="149"/>
      <c r="D141" s="150"/>
      <c r="E141" s="149"/>
      <c r="F141" s="149"/>
      <c r="G141" s="149"/>
      <c r="H141" s="149"/>
      <c r="I141" s="149"/>
      <c r="J141" s="149"/>
      <c r="K141" s="149"/>
      <c r="L141" s="149"/>
      <c r="M141" s="149"/>
      <c r="N141" s="149"/>
      <c r="O141" s="149"/>
      <c r="P141" s="149"/>
      <c r="Q141" s="149"/>
      <c r="R141" s="149"/>
      <c r="S141" s="149"/>
      <c r="T141" s="149"/>
    </row>
    <row r="142">
      <c r="A142" s="148"/>
      <c r="B142" s="149"/>
      <c r="C142" s="149"/>
      <c r="D142" s="150"/>
      <c r="E142" s="149"/>
      <c r="F142" s="149"/>
      <c r="G142" s="149"/>
      <c r="H142" s="149"/>
      <c r="I142" s="149"/>
      <c r="J142" s="149"/>
      <c r="K142" s="149"/>
      <c r="L142" s="149"/>
      <c r="M142" s="149"/>
      <c r="N142" s="149"/>
      <c r="O142" s="149"/>
      <c r="P142" s="149"/>
      <c r="Q142" s="149"/>
      <c r="R142" s="149"/>
      <c r="S142" s="149"/>
      <c r="T142" s="149"/>
    </row>
    <row r="143">
      <c r="A143" s="148"/>
      <c r="B143" s="149"/>
      <c r="C143" s="149"/>
      <c r="D143" s="150"/>
      <c r="E143" s="149"/>
      <c r="F143" s="149"/>
      <c r="G143" s="149"/>
      <c r="H143" s="149"/>
      <c r="I143" s="149"/>
      <c r="J143" s="149"/>
      <c r="K143" s="149"/>
      <c r="L143" s="149"/>
      <c r="M143" s="149"/>
      <c r="N143" s="149"/>
      <c r="O143" s="149"/>
      <c r="P143" s="149"/>
      <c r="Q143" s="149"/>
      <c r="R143" s="149"/>
      <c r="S143" s="149"/>
      <c r="T143" s="149"/>
    </row>
    <row r="144">
      <c r="A144" s="148"/>
      <c r="B144" s="149"/>
      <c r="C144" s="149"/>
      <c r="D144" s="150"/>
      <c r="E144" s="149"/>
      <c r="F144" s="149"/>
      <c r="G144" s="149"/>
      <c r="H144" s="149"/>
      <c r="I144" s="149"/>
      <c r="J144" s="149"/>
      <c r="K144" s="149"/>
      <c r="L144" s="149"/>
      <c r="M144" s="149"/>
      <c r="N144" s="149"/>
      <c r="O144" s="149"/>
      <c r="P144" s="149"/>
      <c r="Q144" s="149"/>
      <c r="R144" s="149"/>
      <c r="S144" s="149"/>
      <c r="T144" s="149"/>
    </row>
    <row r="145">
      <c r="A145" s="148"/>
      <c r="B145" s="149"/>
      <c r="C145" s="149"/>
      <c r="D145" s="150"/>
      <c r="E145" s="149"/>
      <c r="F145" s="149"/>
      <c r="G145" s="149"/>
      <c r="H145" s="149"/>
      <c r="I145" s="149"/>
      <c r="J145" s="149"/>
      <c r="K145" s="149"/>
      <c r="L145" s="149"/>
      <c r="M145" s="149"/>
      <c r="N145" s="149"/>
      <c r="O145" s="149"/>
      <c r="P145" s="149"/>
      <c r="Q145" s="149"/>
      <c r="R145" s="149"/>
      <c r="S145" s="149"/>
      <c r="T145" s="149"/>
    </row>
    <row r="146">
      <c r="A146" s="148"/>
      <c r="B146" s="149"/>
      <c r="C146" s="149"/>
      <c r="D146" s="150"/>
      <c r="E146" s="149"/>
      <c r="F146" s="149"/>
      <c r="G146" s="149"/>
      <c r="H146" s="149"/>
      <c r="I146" s="149"/>
      <c r="J146" s="149"/>
      <c r="K146" s="149"/>
      <c r="L146" s="149"/>
      <c r="M146" s="149"/>
      <c r="N146" s="149"/>
      <c r="O146" s="149"/>
      <c r="P146" s="149"/>
      <c r="Q146" s="149"/>
      <c r="R146" s="149"/>
      <c r="S146" s="149"/>
      <c r="T146" s="149"/>
    </row>
    <row r="147">
      <c r="A147" s="148"/>
      <c r="B147" s="149"/>
      <c r="C147" s="149"/>
      <c r="D147" s="150"/>
      <c r="E147" s="149"/>
      <c r="F147" s="149"/>
      <c r="G147" s="149"/>
      <c r="H147" s="149"/>
      <c r="I147" s="149"/>
      <c r="J147" s="149"/>
      <c r="K147" s="149"/>
      <c r="L147" s="149"/>
      <c r="M147" s="149"/>
      <c r="N147" s="149"/>
      <c r="O147" s="149"/>
      <c r="P147" s="149"/>
      <c r="Q147" s="149"/>
      <c r="R147" s="149"/>
      <c r="S147" s="149"/>
      <c r="T147" s="149"/>
    </row>
    <row r="148">
      <c r="A148" s="148"/>
      <c r="B148" s="149"/>
      <c r="C148" s="149"/>
      <c r="D148" s="150"/>
      <c r="E148" s="149"/>
      <c r="F148" s="149"/>
      <c r="G148" s="149"/>
      <c r="H148" s="149"/>
      <c r="I148" s="149"/>
      <c r="J148" s="149"/>
      <c r="K148" s="149"/>
      <c r="L148" s="149"/>
      <c r="M148" s="149"/>
      <c r="N148" s="149"/>
      <c r="O148" s="149"/>
      <c r="P148" s="149"/>
      <c r="Q148" s="149"/>
      <c r="R148" s="149"/>
      <c r="S148" s="149"/>
      <c r="T148" s="149"/>
    </row>
    <row r="149">
      <c r="A149" s="148"/>
      <c r="B149" s="149"/>
      <c r="C149" s="149"/>
      <c r="D149" s="150"/>
      <c r="E149" s="149"/>
      <c r="F149" s="149"/>
      <c r="G149" s="149"/>
      <c r="H149" s="149"/>
      <c r="I149" s="149"/>
      <c r="J149" s="149"/>
      <c r="K149" s="149"/>
      <c r="L149" s="149"/>
      <c r="M149" s="149"/>
      <c r="N149" s="149"/>
      <c r="O149" s="149"/>
      <c r="P149" s="149"/>
      <c r="Q149" s="149"/>
      <c r="R149" s="149"/>
      <c r="S149" s="149"/>
      <c r="T149" s="149"/>
    </row>
    <row r="150">
      <c r="A150" s="148"/>
      <c r="B150" s="149"/>
      <c r="C150" s="149"/>
      <c r="D150" s="150"/>
      <c r="E150" s="149"/>
      <c r="F150" s="149"/>
      <c r="G150" s="149"/>
      <c r="H150" s="149"/>
      <c r="I150" s="149"/>
      <c r="J150" s="149"/>
      <c r="K150" s="149"/>
      <c r="L150" s="149"/>
      <c r="M150" s="149"/>
      <c r="N150" s="149"/>
      <c r="O150" s="149"/>
      <c r="P150" s="149"/>
      <c r="Q150" s="149"/>
      <c r="R150" s="149"/>
      <c r="S150" s="149"/>
      <c r="T150" s="149"/>
    </row>
    <row r="151">
      <c r="A151" s="148"/>
      <c r="B151" s="149"/>
      <c r="C151" s="149"/>
      <c r="D151" s="150"/>
      <c r="E151" s="149"/>
      <c r="F151" s="149"/>
      <c r="G151" s="149"/>
      <c r="H151" s="149"/>
      <c r="I151" s="149"/>
      <c r="J151" s="149"/>
      <c r="K151" s="149"/>
      <c r="L151" s="149"/>
      <c r="M151" s="149"/>
      <c r="N151" s="149"/>
      <c r="O151" s="149"/>
      <c r="P151" s="149"/>
      <c r="Q151" s="149"/>
      <c r="R151" s="149"/>
      <c r="S151" s="149"/>
      <c r="T151" s="149"/>
    </row>
    <row r="152">
      <c r="A152" s="148"/>
      <c r="B152" s="149"/>
      <c r="C152" s="149"/>
      <c r="D152" s="150"/>
      <c r="E152" s="149"/>
      <c r="F152" s="149"/>
      <c r="G152" s="149"/>
      <c r="H152" s="149"/>
      <c r="I152" s="149"/>
      <c r="J152" s="149"/>
      <c r="K152" s="149"/>
      <c r="L152" s="149"/>
      <c r="M152" s="149"/>
      <c r="N152" s="149"/>
      <c r="O152" s="149"/>
      <c r="P152" s="149"/>
      <c r="Q152" s="149"/>
      <c r="R152" s="149"/>
      <c r="S152" s="149"/>
      <c r="T152" s="149"/>
    </row>
    <row r="153">
      <c r="A153" s="148"/>
      <c r="B153" s="149"/>
      <c r="C153" s="149"/>
      <c r="D153" s="150"/>
      <c r="E153" s="149"/>
      <c r="F153" s="149"/>
      <c r="G153" s="149"/>
      <c r="H153" s="149"/>
      <c r="I153" s="149"/>
      <c r="J153" s="149"/>
      <c r="K153" s="149"/>
      <c r="L153" s="149"/>
      <c r="M153" s="149"/>
      <c r="N153" s="149"/>
      <c r="O153" s="149"/>
      <c r="P153" s="149"/>
      <c r="Q153" s="149"/>
      <c r="R153" s="149"/>
      <c r="S153" s="149"/>
      <c r="T153" s="149"/>
    </row>
    <row r="154">
      <c r="A154" s="148"/>
      <c r="B154" s="149"/>
      <c r="C154" s="149"/>
      <c r="D154" s="150"/>
      <c r="E154" s="149"/>
      <c r="F154" s="149"/>
      <c r="G154" s="149"/>
      <c r="H154" s="149"/>
      <c r="I154" s="149"/>
      <c r="J154" s="149"/>
      <c r="K154" s="149"/>
      <c r="L154" s="149"/>
      <c r="M154" s="149"/>
      <c r="N154" s="149"/>
      <c r="O154" s="149"/>
      <c r="P154" s="149"/>
      <c r="Q154" s="149"/>
      <c r="R154" s="149"/>
      <c r="S154" s="149"/>
      <c r="T154" s="149"/>
    </row>
    <row r="155">
      <c r="A155" s="148"/>
      <c r="B155" s="149"/>
      <c r="C155" s="149"/>
      <c r="D155" s="150"/>
      <c r="E155" s="149"/>
      <c r="F155" s="149"/>
      <c r="G155" s="149"/>
      <c r="H155" s="149"/>
      <c r="I155" s="149"/>
      <c r="J155" s="149"/>
      <c r="K155" s="149"/>
      <c r="L155" s="149"/>
      <c r="M155" s="149"/>
      <c r="N155" s="149"/>
      <c r="O155" s="149"/>
      <c r="P155" s="149"/>
      <c r="Q155" s="149"/>
      <c r="R155" s="149"/>
      <c r="S155" s="149"/>
      <c r="T155" s="149"/>
    </row>
    <row r="156">
      <c r="A156" s="148"/>
      <c r="B156" s="149"/>
      <c r="C156" s="149"/>
      <c r="D156" s="150"/>
      <c r="E156" s="149"/>
      <c r="F156" s="149"/>
      <c r="G156" s="149"/>
      <c r="H156" s="149"/>
      <c r="I156" s="149"/>
      <c r="J156" s="149"/>
      <c r="K156" s="149"/>
      <c r="L156" s="149"/>
      <c r="M156" s="149"/>
      <c r="N156" s="149"/>
      <c r="O156" s="149"/>
      <c r="P156" s="149"/>
      <c r="Q156" s="149"/>
      <c r="R156" s="149"/>
      <c r="S156" s="149"/>
      <c r="T156" s="149"/>
    </row>
    <row r="157">
      <c r="A157" s="148"/>
      <c r="B157" s="149"/>
      <c r="C157" s="149"/>
      <c r="D157" s="150"/>
      <c r="E157" s="149"/>
      <c r="F157" s="149"/>
      <c r="G157" s="149"/>
      <c r="H157" s="149"/>
      <c r="I157" s="149"/>
      <c r="J157" s="149"/>
      <c r="K157" s="149"/>
      <c r="L157" s="149"/>
      <c r="M157" s="149"/>
      <c r="N157" s="149"/>
      <c r="O157" s="149"/>
      <c r="P157" s="149"/>
      <c r="Q157" s="149"/>
      <c r="R157" s="149"/>
      <c r="S157" s="149"/>
      <c r="T157" s="149"/>
    </row>
    <row r="158">
      <c r="A158" s="148"/>
      <c r="B158" s="149"/>
      <c r="C158" s="149"/>
      <c r="D158" s="150"/>
      <c r="E158" s="149"/>
      <c r="F158" s="149"/>
      <c r="G158" s="149"/>
      <c r="H158" s="149"/>
      <c r="I158" s="149"/>
      <c r="J158" s="149"/>
      <c r="K158" s="149"/>
      <c r="L158" s="149"/>
      <c r="M158" s="149"/>
      <c r="N158" s="149"/>
      <c r="O158" s="149"/>
      <c r="P158" s="149"/>
      <c r="Q158" s="149"/>
      <c r="R158" s="149"/>
      <c r="S158" s="149"/>
      <c r="T158" s="149"/>
    </row>
    <row r="159">
      <c r="A159" s="148"/>
      <c r="B159" s="149"/>
      <c r="C159" s="149"/>
      <c r="D159" s="150"/>
      <c r="E159" s="149"/>
      <c r="F159" s="149"/>
      <c r="G159" s="149"/>
      <c r="H159" s="149"/>
      <c r="I159" s="149"/>
      <c r="J159" s="149"/>
      <c r="K159" s="149"/>
      <c r="L159" s="149"/>
      <c r="M159" s="149"/>
      <c r="N159" s="149"/>
      <c r="O159" s="149"/>
      <c r="P159" s="149"/>
      <c r="Q159" s="149"/>
      <c r="R159" s="149"/>
      <c r="S159" s="149"/>
      <c r="T159" s="149"/>
    </row>
    <row r="160">
      <c r="A160" s="148"/>
      <c r="B160" s="149"/>
      <c r="C160" s="149"/>
      <c r="D160" s="150"/>
      <c r="E160" s="149"/>
      <c r="F160" s="149"/>
      <c r="G160" s="149"/>
      <c r="H160" s="149"/>
      <c r="I160" s="149"/>
      <c r="J160" s="149"/>
      <c r="K160" s="149"/>
      <c r="L160" s="149"/>
      <c r="M160" s="149"/>
      <c r="N160" s="149"/>
      <c r="O160" s="149"/>
      <c r="P160" s="149"/>
      <c r="Q160" s="149"/>
      <c r="R160" s="149"/>
      <c r="S160" s="149"/>
      <c r="T160" s="149"/>
    </row>
    <row r="161">
      <c r="A161" s="148"/>
      <c r="B161" s="149"/>
      <c r="C161" s="149"/>
      <c r="D161" s="150"/>
      <c r="E161" s="149"/>
      <c r="F161" s="149"/>
      <c r="G161" s="149"/>
      <c r="H161" s="149"/>
      <c r="I161" s="149"/>
      <c r="J161" s="149"/>
      <c r="K161" s="149"/>
      <c r="L161" s="149"/>
      <c r="M161" s="149"/>
      <c r="N161" s="149"/>
      <c r="O161" s="149"/>
      <c r="P161" s="149"/>
      <c r="Q161" s="149"/>
      <c r="R161" s="149"/>
      <c r="S161" s="149"/>
      <c r="T161" s="149"/>
    </row>
    <row r="162">
      <c r="A162" s="148"/>
      <c r="B162" s="149"/>
      <c r="C162" s="149"/>
      <c r="D162" s="150"/>
      <c r="E162" s="149"/>
      <c r="F162" s="149"/>
      <c r="G162" s="149"/>
      <c r="H162" s="149"/>
      <c r="I162" s="149"/>
      <c r="J162" s="149"/>
      <c r="K162" s="149"/>
      <c r="L162" s="149"/>
      <c r="M162" s="149"/>
      <c r="N162" s="149"/>
      <c r="O162" s="149"/>
      <c r="P162" s="149"/>
      <c r="Q162" s="149"/>
      <c r="R162" s="149"/>
      <c r="S162" s="149"/>
      <c r="T162" s="149"/>
    </row>
    <row r="163">
      <c r="A163" s="148"/>
      <c r="B163" s="149"/>
      <c r="C163" s="149"/>
      <c r="D163" s="150"/>
      <c r="E163" s="149"/>
      <c r="F163" s="149"/>
      <c r="G163" s="149"/>
      <c r="H163" s="149"/>
      <c r="I163" s="149"/>
      <c r="J163" s="149"/>
      <c r="K163" s="149"/>
      <c r="L163" s="149"/>
      <c r="M163" s="149"/>
      <c r="N163" s="149"/>
      <c r="O163" s="149"/>
      <c r="P163" s="149"/>
      <c r="Q163" s="149"/>
      <c r="R163" s="149"/>
      <c r="S163" s="149"/>
      <c r="T163" s="149"/>
    </row>
    <row r="164">
      <c r="A164" s="148"/>
      <c r="B164" s="149"/>
      <c r="C164" s="149"/>
      <c r="D164" s="150"/>
      <c r="E164" s="149"/>
      <c r="F164" s="149"/>
      <c r="G164" s="149"/>
      <c r="H164" s="149"/>
      <c r="I164" s="149"/>
      <c r="J164" s="149"/>
      <c r="K164" s="149"/>
      <c r="L164" s="149"/>
      <c r="M164" s="149"/>
      <c r="N164" s="149"/>
      <c r="O164" s="149"/>
      <c r="P164" s="149"/>
      <c r="Q164" s="149"/>
      <c r="R164" s="149"/>
      <c r="S164" s="149"/>
      <c r="T164" s="149"/>
    </row>
    <row r="165">
      <c r="A165" s="148"/>
      <c r="B165" s="149"/>
      <c r="C165" s="149"/>
      <c r="D165" s="150"/>
      <c r="E165" s="149"/>
      <c r="F165" s="149"/>
      <c r="G165" s="149"/>
      <c r="H165" s="149"/>
      <c r="I165" s="149"/>
      <c r="J165" s="149"/>
      <c r="K165" s="149"/>
      <c r="L165" s="149"/>
      <c r="M165" s="149"/>
      <c r="N165" s="149"/>
      <c r="O165" s="149"/>
      <c r="P165" s="149"/>
      <c r="Q165" s="149"/>
      <c r="R165" s="149"/>
      <c r="S165" s="149"/>
      <c r="T165" s="149"/>
    </row>
    <row r="166">
      <c r="A166" s="148"/>
      <c r="B166" s="149"/>
      <c r="C166" s="149"/>
      <c r="D166" s="150"/>
      <c r="E166" s="149"/>
      <c r="F166" s="149"/>
      <c r="G166" s="149"/>
      <c r="H166" s="149"/>
      <c r="I166" s="149"/>
      <c r="J166" s="149"/>
      <c r="K166" s="149"/>
      <c r="L166" s="149"/>
      <c r="M166" s="149"/>
      <c r="N166" s="149"/>
      <c r="O166" s="149"/>
      <c r="P166" s="149"/>
      <c r="Q166" s="149"/>
      <c r="R166" s="149"/>
      <c r="S166" s="149"/>
      <c r="T166" s="149"/>
    </row>
    <row r="167">
      <c r="A167" s="148"/>
      <c r="B167" s="149"/>
      <c r="C167" s="149"/>
      <c r="D167" s="150"/>
      <c r="E167" s="149"/>
      <c r="F167" s="149"/>
      <c r="G167" s="149"/>
      <c r="H167" s="149"/>
      <c r="I167" s="149"/>
      <c r="J167" s="149"/>
      <c r="K167" s="149"/>
      <c r="L167" s="149"/>
      <c r="M167" s="149"/>
      <c r="N167" s="149"/>
      <c r="O167" s="149"/>
      <c r="P167" s="149"/>
      <c r="Q167" s="149"/>
      <c r="R167" s="149"/>
      <c r="S167" s="149"/>
      <c r="T167" s="149"/>
    </row>
    <row r="168">
      <c r="A168" s="148"/>
      <c r="B168" s="149"/>
      <c r="C168" s="149"/>
      <c r="D168" s="150"/>
      <c r="E168" s="149"/>
      <c r="F168" s="149"/>
      <c r="G168" s="149"/>
      <c r="H168" s="149"/>
      <c r="I168" s="149"/>
      <c r="J168" s="149"/>
      <c r="K168" s="149"/>
      <c r="L168" s="149"/>
      <c r="M168" s="149"/>
      <c r="N168" s="149"/>
      <c r="O168" s="149"/>
      <c r="P168" s="149"/>
      <c r="Q168" s="149"/>
      <c r="R168" s="149"/>
      <c r="S168" s="149"/>
      <c r="T168" s="149"/>
    </row>
    <row r="169">
      <c r="A169" s="148"/>
      <c r="B169" s="149"/>
      <c r="C169" s="149"/>
      <c r="D169" s="150"/>
      <c r="E169" s="149"/>
      <c r="F169" s="149"/>
      <c r="G169" s="149"/>
      <c r="H169" s="149"/>
      <c r="I169" s="149"/>
      <c r="J169" s="149"/>
      <c r="K169" s="149"/>
      <c r="L169" s="149"/>
      <c r="M169" s="149"/>
      <c r="N169" s="149"/>
      <c r="O169" s="149"/>
      <c r="P169" s="149"/>
      <c r="Q169" s="149"/>
      <c r="R169" s="149"/>
      <c r="S169" s="149"/>
      <c r="T169" s="149"/>
    </row>
    <row r="170">
      <c r="A170" s="148"/>
      <c r="B170" s="149"/>
      <c r="C170" s="149"/>
      <c r="D170" s="150"/>
      <c r="E170" s="149"/>
      <c r="F170" s="149"/>
      <c r="G170" s="149"/>
      <c r="H170" s="149"/>
      <c r="I170" s="149"/>
      <c r="J170" s="149"/>
      <c r="K170" s="149"/>
      <c r="L170" s="149"/>
      <c r="M170" s="149"/>
      <c r="N170" s="149"/>
      <c r="O170" s="149"/>
      <c r="P170" s="149"/>
      <c r="Q170" s="149"/>
      <c r="R170" s="149"/>
      <c r="S170" s="149"/>
      <c r="T170" s="149"/>
    </row>
    <row r="171">
      <c r="A171" s="148"/>
      <c r="B171" s="149"/>
      <c r="C171" s="149"/>
      <c r="D171" s="150"/>
      <c r="E171" s="149"/>
      <c r="F171" s="149"/>
      <c r="G171" s="149"/>
      <c r="H171" s="149"/>
      <c r="I171" s="149"/>
      <c r="J171" s="149"/>
      <c r="K171" s="149"/>
      <c r="L171" s="149"/>
      <c r="M171" s="149"/>
      <c r="N171" s="149"/>
      <c r="O171" s="149"/>
      <c r="P171" s="149"/>
      <c r="Q171" s="149"/>
      <c r="R171" s="149"/>
      <c r="S171" s="149"/>
      <c r="T171" s="149"/>
    </row>
    <row r="172">
      <c r="A172" s="148"/>
      <c r="B172" s="149"/>
      <c r="C172" s="149"/>
      <c r="D172" s="150"/>
      <c r="E172" s="149"/>
      <c r="F172" s="149"/>
      <c r="G172" s="149"/>
      <c r="H172" s="149"/>
      <c r="I172" s="149"/>
      <c r="J172" s="149"/>
      <c r="K172" s="149"/>
      <c r="L172" s="149"/>
      <c r="M172" s="149"/>
      <c r="N172" s="149"/>
      <c r="O172" s="149"/>
      <c r="P172" s="149"/>
      <c r="Q172" s="149"/>
      <c r="R172" s="149"/>
      <c r="S172" s="149"/>
      <c r="T172" s="149"/>
    </row>
    <row r="173">
      <c r="A173" s="148"/>
      <c r="B173" s="149"/>
      <c r="C173" s="149"/>
      <c r="D173" s="150"/>
      <c r="E173" s="149"/>
      <c r="F173" s="149"/>
      <c r="G173" s="149"/>
      <c r="H173" s="149"/>
      <c r="I173" s="149"/>
      <c r="J173" s="149"/>
      <c r="K173" s="149"/>
      <c r="L173" s="149"/>
      <c r="M173" s="149"/>
      <c r="N173" s="149"/>
      <c r="O173" s="149"/>
      <c r="P173" s="149"/>
      <c r="Q173" s="149"/>
      <c r="R173" s="149"/>
      <c r="S173" s="149"/>
      <c r="T173" s="149"/>
    </row>
    <row r="174">
      <c r="A174" s="148"/>
      <c r="B174" s="149"/>
      <c r="C174" s="149"/>
      <c r="D174" s="150"/>
      <c r="E174" s="149"/>
      <c r="F174" s="149"/>
      <c r="G174" s="149"/>
      <c r="H174" s="149"/>
      <c r="I174" s="149"/>
      <c r="J174" s="149"/>
      <c r="K174" s="149"/>
      <c r="L174" s="149"/>
      <c r="M174" s="149"/>
      <c r="N174" s="149"/>
      <c r="O174" s="149"/>
      <c r="P174" s="149"/>
      <c r="Q174" s="149"/>
      <c r="R174" s="149"/>
      <c r="S174" s="149"/>
      <c r="T174" s="149"/>
    </row>
    <row r="175">
      <c r="A175" s="148"/>
      <c r="B175" s="149"/>
      <c r="C175" s="149"/>
      <c r="D175" s="150"/>
      <c r="E175" s="149"/>
      <c r="F175" s="149"/>
      <c r="G175" s="149"/>
      <c r="H175" s="149"/>
      <c r="I175" s="149"/>
      <c r="J175" s="149"/>
      <c r="K175" s="149"/>
      <c r="L175" s="149"/>
      <c r="M175" s="149"/>
      <c r="N175" s="149"/>
      <c r="O175" s="149"/>
      <c r="P175" s="149"/>
      <c r="Q175" s="149"/>
      <c r="R175" s="149"/>
      <c r="S175" s="149"/>
      <c r="T175" s="149"/>
    </row>
    <row r="176">
      <c r="A176" s="148"/>
      <c r="B176" s="149"/>
      <c r="C176" s="149"/>
      <c r="D176" s="150"/>
      <c r="E176" s="149"/>
      <c r="F176" s="149"/>
      <c r="G176" s="149"/>
      <c r="H176" s="149"/>
      <c r="I176" s="149"/>
      <c r="J176" s="149"/>
      <c r="K176" s="149"/>
      <c r="L176" s="149"/>
      <c r="M176" s="149"/>
      <c r="N176" s="149"/>
      <c r="O176" s="149"/>
      <c r="P176" s="149"/>
      <c r="Q176" s="149"/>
      <c r="R176" s="149"/>
      <c r="S176" s="149"/>
      <c r="T176" s="149"/>
    </row>
    <row r="177">
      <c r="A177" s="148"/>
      <c r="B177" s="149"/>
      <c r="C177" s="149"/>
      <c r="D177" s="150"/>
      <c r="E177" s="149"/>
      <c r="F177" s="149"/>
      <c r="G177" s="149"/>
      <c r="H177" s="149"/>
      <c r="I177" s="149"/>
      <c r="J177" s="149"/>
      <c r="K177" s="149"/>
      <c r="L177" s="149"/>
      <c r="M177" s="149"/>
      <c r="N177" s="149"/>
      <c r="O177" s="149"/>
      <c r="P177" s="149"/>
      <c r="Q177" s="149"/>
      <c r="R177" s="149"/>
      <c r="S177" s="149"/>
      <c r="T177" s="149"/>
    </row>
    <row r="178">
      <c r="A178" s="148"/>
      <c r="B178" s="149"/>
      <c r="C178" s="149"/>
      <c r="D178" s="150"/>
      <c r="E178" s="149"/>
      <c r="F178" s="149"/>
      <c r="G178" s="149"/>
      <c r="H178" s="149"/>
      <c r="I178" s="149"/>
      <c r="J178" s="149"/>
      <c r="K178" s="149"/>
      <c r="L178" s="149"/>
      <c r="M178" s="149"/>
      <c r="N178" s="149"/>
      <c r="O178" s="149"/>
      <c r="P178" s="149"/>
      <c r="Q178" s="149"/>
      <c r="R178" s="149"/>
      <c r="S178" s="149"/>
      <c r="T178" s="149"/>
    </row>
    <row r="179">
      <c r="A179" s="148"/>
      <c r="B179" s="149"/>
      <c r="C179" s="149"/>
      <c r="D179" s="150"/>
      <c r="E179" s="149"/>
      <c r="F179" s="149"/>
      <c r="G179" s="149"/>
      <c r="H179" s="149"/>
      <c r="I179" s="149"/>
      <c r="J179" s="149"/>
      <c r="K179" s="149"/>
      <c r="L179" s="149"/>
      <c r="M179" s="149"/>
      <c r="N179" s="149"/>
      <c r="O179" s="149"/>
      <c r="P179" s="149"/>
      <c r="Q179" s="149"/>
      <c r="R179" s="149"/>
      <c r="S179" s="149"/>
      <c r="T179" s="149"/>
    </row>
    <row r="180">
      <c r="A180" s="148"/>
      <c r="B180" s="149"/>
      <c r="C180" s="149"/>
      <c r="D180" s="150"/>
      <c r="E180" s="149"/>
      <c r="F180" s="149"/>
      <c r="G180" s="149"/>
      <c r="H180" s="149"/>
      <c r="I180" s="149"/>
      <c r="J180" s="149"/>
      <c r="K180" s="149"/>
      <c r="L180" s="149"/>
      <c r="M180" s="149"/>
      <c r="N180" s="149"/>
      <c r="O180" s="149"/>
      <c r="P180" s="149"/>
      <c r="Q180" s="149"/>
      <c r="R180" s="149"/>
      <c r="S180" s="149"/>
      <c r="T180" s="149"/>
    </row>
    <row r="181">
      <c r="A181" s="148"/>
      <c r="B181" s="149"/>
      <c r="C181" s="149"/>
      <c r="D181" s="150"/>
      <c r="E181" s="149"/>
      <c r="F181" s="149"/>
      <c r="G181" s="149"/>
      <c r="H181" s="149"/>
      <c r="I181" s="149"/>
      <c r="J181" s="149"/>
      <c r="K181" s="149"/>
      <c r="L181" s="149"/>
      <c r="M181" s="149"/>
      <c r="N181" s="149"/>
      <c r="O181" s="149"/>
      <c r="P181" s="149"/>
      <c r="Q181" s="149"/>
      <c r="R181" s="149"/>
      <c r="S181" s="149"/>
      <c r="T181" s="149"/>
    </row>
    <row r="182">
      <c r="A182" s="148"/>
      <c r="B182" s="149"/>
      <c r="C182" s="149"/>
      <c r="D182" s="150"/>
      <c r="E182" s="149"/>
      <c r="F182" s="149"/>
      <c r="G182" s="149"/>
      <c r="H182" s="149"/>
      <c r="I182" s="149"/>
      <c r="J182" s="149"/>
      <c r="K182" s="149"/>
      <c r="L182" s="149"/>
      <c r="M182" s="149"/>
      <c r="N182" s="149"/>
      <c r="O182" s="149"/>
      <c r="P182" s="149"/>
      <c r="Q182" s="149"/>
      <c r="R182" s="149"/>
      <c r="S182" s="149"/>
      <c r="T182" s="149"/>
    </row>
    <row r="183">
      <c r="A183" s="148"/>
      <c r="B183" s="149"/>
      <c r="C183" s="149"/>
      <c r="D183" s="150"/>
      <c r="E183" s="149"/>
      <c r="F183" s="149"/>
      <c r="G183" s="149"/>
      <c r="H183" s="149"/>
      <c r="I183" s="149"/>
      <c r="J183" s="149"/>
      <c r="K183" s="149"/>
      <c r="L183" s="149"/>
      <c r="M183" s="149"/>
      <c r="N183" s="149"/>
      <c r="O183" s="149"/>
      <c r="P183" s="149"/>
      <c r="Q183" s="149"/>
      <c r="R183" s="149"/>
      <c r="S183" s="149"/>
      <c r="T183" s="149"/>
    </row>
    <row r="184">
      <c r="A184" s="148"/>
      <c r="B184" s="149"/>
      <c r="C184" s="149"/>
      <c r="D184" s="150"/>
      <c r="E184" s="149"/>
      <c r="F184" s="149"/>
      <c r="G184" s="149"/>
      <c r="H184" s="149"/>
      <c r="I184" s="149"/>
      <c r="J184" s="149"/>
      <c r="K184" s="149"/>
      <c r="L184" s="149"/>
      <c r="M184" s="149"/>
      <c r="N184" s="149"/>
      <c r="O184" s="149"/>
      <c r="P184" s="149"/>
      <c r="Q184" s="149"/>
      <c r="R184" s="149"/>
      <c r="S184" s="149"/>
      <c r="T184" s="149"/>
    </row>
    <row r="185">
      <c r="A185" s="148"/>
      <c r="B185" s="149"/>
      <c r="C185" s="149"/>
      <c r="D185" s="150"/>
      <c r="E185" s="149"/>
      <c r="F185" s="149"/>
      <c r="G185" s="149"/>
      <c r="H185" s="149"/>
      <c r="I185" s="149"/>
      <c r="J185" s="149"/>
      <c r="K185" s="149"/>
      <c r="L185" s="149"/>
      <c r="M185" s="149"/>
      <c r="N185" s="149"/>
      <c r="O185" s="149"/>
      <c r="P185" s="149"/>
      <c r="Q185" s="149"/>
      <c r="R185" s="149"/>
      <c r="S185" s="149"/>
      <c r="T185" s="149"/>
    </row>
    <row r="186">
      <c r="A186" s="148"/>
      <c r="B186" s="149"/>
      <c r="C186" s="149"/>
      <c r="D186" s="150"/>
      <c r="E186" s="149"/>
      <c r="F186" s="149"/>
      <c r="G186" s="149"/>
      <c r="H186" s="149"/>
      <c r="I186" s="149"/>
      <c r="J186" s="149"/>
      <c r="K186" s="149"/>
      <c r="L186" s="149"/>
      <c r="M186" s="149"/>
      <c r="N186" s="149"/>
      <c r="O186" s="149"/>
      <c r="P186" s="149"/>
      <c r="Q186" s="149"/>
      <c r="R186" s="149"/>
      <c r="S186" s="149"/>
      <c r="T186" s="149"/>
    </row>
    <row r="187">
      <c r="A187" s="148"/>
      <c r="B187" s="149"/>
      <c r="C187" s="149"/>
      <c r="D187" s="150"/>
      <c r="E187" s="149"/>
      <c r="F187" s="149"/>
      <c r="G187" s="149"/>
      <c r="H187" s="149"/>
      <c r="I187" s="149"/>
      <c r="J187" s="149"/>
      <c r="K187" s="149"/>
      <c r="L187" s="149"/>
      <c r="M187" s="149"/>
      <c r="N187" s="149"/>
      <c r="O187" s="149"/>
      <c r="P187" s="149"/>
      <c r="Q187" s="149"/>
      <c r="R187" s="149"/>
      <c r="S187" s="149"/>
      <c r="T187" s="149"/>
    </row>
    <row r="188">
      <c r="A188" s="148"/>
      <c r="B188" s="149"/>
      <c r="C188" s="149"/>
      <c r="D188" s="150"/>
      <c r="E188" s="149"/>
      <c r="F188" s="149"/>
      <c r="G188" s="149"/>
      <c r="H188" s="149"/>
      <c r="I188" s="149"/>
      <c r="J188" s="149"/>
      <c r="K188" s="149"/>
      <c r="L188" s="149"/>
      <c r="M188" s="149"/>
      <c r="N188" s="149"/>
      <c r="O188" s="149"/>
      <c r="P188" s="149"/>
      <c r="Q188" s="149"/>
      <c r="R188" s="149"/>
      <c r="S188" s="149"/>
      <c r="T188" s="149"/>
    </row>
    <row r="189">
      <c r="A189" s="148"/>
      <c r="B189" s="149"/>
      <c r="C189" s="149"/>
      <c r="D189" s="150"/>
      <c r="E189" s="149"/>
      <c r="F189" s="149"/>
      <c r="G189" s="149"/>
      <c r="H189" s="149"/>
      <c r="I189" s="149"/>
      <c r="J189" s="149"/>
      <c r="K189" s="149"/>
      <c r="L189" s="149"/>
      <c r="M189" s="149"/>
      <c r="N189" s="149"/>
      <c r="O189" s="149"/>
      <c r="P189" s="149"/>
      <c r="Q189" s="149"/>
      <c r="R189" s="149"/>
      <c r="S189" s="149"/>
      <c r="T189" s="149"/>
    </row>
    <row r="190">
      <c r="A190" s="148"/>
      <c r="B190" s="149"/>
      <c r="C190" s="149"/>
      <c r="D190" s="150"/>
      <c r="E190" s="149"/>
      <c r="F190" s="149"/>
      <c r="G190" s="149"/>
      <c r="H190" s="149"/>
      <c r="I190" s="149"/>
      <c r="J190" s="149"/>
      <c r="K190" s="149"/>
      <c r="L190" s="149"/>
      <c r="M190" s="149"/>
      <c r="N190" s="149"/>
      <c r="O190" s="149"/>
      <c r="P190" s="149"/>
      <c r="Q190" s="149"/>
      <c r="R190" s="149"/>
      <c r="S190" s="149"/>
      <c r="T190" s="149"/>
    </row>
    <row r="191">
      <c r="A191" s="148"/>
      <c r="B191" s="149"/>
      <c r="C191" s="149"/>
      <c r="D191" s="150"/>
      <c r="E191" s="149"/>
      <c r="F191" s="149"/>
      <c r="G191" s="149"/>
      <c r="H191" s="149"/>
      <c r="I191" s="149"/>
      <c r="J191" s="149"/>
      <c r="K191" s="149"/>
      <c r="L191" s="149"/>
      <c r="M191" s="149"/>
      <c r="N191" s="149"/>
      <c r="O191" s="149"/>
      <c r="P191" s="149"/>
      <c r="Q191" s="149"/>
      <c r="R191" s="149"/>
      <c r="S191" s="149"/>
      <c r="T191" s="149"/>
    </row>
    <row r="192">
      <c r="A192" s="148"/>
      <c r="B192" s="149"/>
      <c r="C192" s="149"/>
      <c r="D192" s="150"/>
      <c r="E192" s="149"/>
      <c r="F192" s="149"/>
      <c r="G192" s="149"/>
      <c r="H192" s="149"/>
      <c r="I192" s="149"/>
      <c r="J192" s="149"/>
      <c r="K192" s="149"/>
      <c r="L192" s="149"/>
      <c r="M192" s="149"/>
      <c r="N192" s="149"/>
      <c r="O192" s="149"/>
      <c r="P192" s="149"/>
      <c r="Q192" s="149"/>
      <c r="R192" s="149"/>
      <c r="S192" s="149"/>
      <c r="T192" s="149"/>
    </row>
    <row r="193">
      <c r="A193" s="148"/>
      <c r="B193" s="149"/>
      <c r="C193" s="149"/>
      <c r="D193" s="150"/>
      <c r="E193" s="149"/>
      <c r="F193" s="149"/>
      <c r="G193" s="149"/>
      <c r="H193" s="149"/>
      <c r="I193" s="149"/>
      <c r="J193" s="149"/>
      <c r="K193" s="149"/>
      <c r="L193" s="149"/>
      <c r="M193" s="149"/>
      <c r="N193" s="149"/>
      <c r="O193" s="149"/>
      <c r="P193" s="149"/>
      <c r="Q193" s="149"/>
      <c r="R193" s="149"/>
      <c r="S193" s="149"/>
      <c r="T193" s="149"/>
    </row>
    <row r="194">
      <c r="A194" s="148"/>
      <c r="B194" s="149"/>
      <c r="C194" s="149"/>
      <c r="D194" s="150"/>
      <c r="E194" s="149"/>
      <c r="F194" s="149"/>
      <c r="G194" s="149"/>
      <c r="H194" s="149"/>
      <c r="I194" s="149"/>
      <c r="J194" s="149"/>
      <c r="K194" s="149"/>
      <c r="L194" s="149"/>
      <c r="M194" s="149"/>
      <c r="N194" s="149"/>
      <c r="O194" s="149"/>
      <c r="P194" s="149"/>
      <c r="Q194" s="149"/>
      <c r="R194" s="149"/>
      <c r="S194" s="149"/>
      <c r="T194" s="149"/>
    </row>
    <row r="195">
      <c r="A195" s="148"/>
      <c r="B195" s="149"/>
      <c r="C195" s="149"/>
      <c r="D195" s="150"/>
      <c r="E195" s="149"/>
      <c r="F195" s="149"/>
      <c r="G195" s="149"/>
      <c r="H195" s="149"/>
      <c r="I195" s="149"/>
      <c r="J195" s="149"/>
      <c r="K195" s="149"/>
      <c r="L195" s="149"/>
      <c r="M195" s="149"/>
      <c r="N195" s="149"/>
      <c r="O195" s="149"/>
      <c r="P195" s="149"/>
      <c r="Q195" s="149"/>
      <c r="R195" s="149"/>
      <c r="S195" s="149"/>
      <c r="T195" s="149"/>
    </row>
    <row r="196">
      <c r="A196" s="148"/>
      <c r="B196" s="149"/>
      <c r="C196" s="149"/>
      <c r="D196" s="150"/>
      <c r="E196" s="149"/>
      <c r="F196" s="149"/>
      <c r="G196" s="149"/>
      <c r="H196" s="149"/>
      <c r="I196" s="149"/>
      <c r="J196" s="149"/>
      <c r="K196" s="149"/>
      <c r="L196" s="149"/>
      <c r="M196" s="149"/>
      <c r="N196" s="149"/>
      <c r="O196" s="149"/>
      <c r="P196" s="149"/>
      <c r="Q196" s="149"/>
      <c r="R196" s="149"/>
      <c r="S196" s="149"/>
      <c r="T196" s="149"/>
    </row>
    <row r="197">
      <c r="A197" s="148"/>
      <c r="B197" s="149"/>
      <c r="C197" s="149"/>
      <c r="D197" s="150"/>
      <c r="E197" s="149"/>
      <c r="F197" s="149"/>
      <c r="G197" s="149"/>
      <c r="H197" s="149"/>
      <c r="I197" s="149"/>
      <c r="J197" s="149"/>
      <c r="K197" s="149"/>
      <c r="L197" s="149"/>
      <c r="M197" s="149"/>
      <c r="N197" s="149"/>
      <c r="O197" s="149"/>
      <c r="P197" s="149"/>
      <c r="Q197" s="149"/>
      <c r="R197" s="149"/>
      <c r="S197" s="149"/>
      <c r="T197" s="149"/>
    </row>
    <row r="198">
      <c r="A198" s="148"/>
      <c r="B198" s="149"/>
      <c r="C198" s="149"/>
      <c r="D198" s="150"/>
      <c r="E198" s="149"/>
      <c r="F198" s="149"/>
      <c r="G198" s="149"/>
      <c r="H198" s="149"/>
      <c r="I198" s="149"/>
      <c r="J198" s="149"/>
      <c r="K198" s="149"/>
      <c r="L198" s="149"/>
      <c r="M198" s="149"/>
      <c r="N198" s="149"/>
      <c r="O198" s="149"/>
      <c r="P198" s="149"/>
      <c r="Q198" s="149"/>
      <c r="R198" s="149"/>
      <c r="S198" s="149"/>
      <c r="T198" s="149"/>
    </row>
    <row r="199">
      <c r="A199" s="148"/>
      <c r="B199" s="149"/>
      <c r="C199" s="149"/>
      <c r="D199" s="150"/>
      <c r="E199" s="149"/>
      <c r="F199" s="149"/>
      <c r="G199" s="149"/>
      <c r="H199" s="149"/>
      <c r="I199" s="149"/>
      <c r="J199" s="149"/>
      <c r="K199" s="149"/>
      <c r="L199" s="149"/>
      <c r="M199" s="149"/>
      <c r="N199" s="149"/>
      <c r="O199" s="149"/>
      <c r="P199" s="149"/>
      <c r="Q199" s="149"/>
      <c r="R199" s="149"/>
      <c r="S199" s="149"/>
      <c r="T199" s="149"/>
    </row>
    <row r="200">
      <c r="A200" s="148"/>
      <c r="B200" s="149"/>
      <c r="C200" s="149"/>
      <c r="D200" s="150"/>
      <c r="E200" s="149"/>
      <c r="F200" s="149"/>
      <c r="G200" s="149"/>
      <c r="H200" s="149"/>
      <c r="I200" s="149"/>
      <c r="J200" s="149"/>
      <c r="K200" s="149"/>
      <c r="L200" s="149"/>
      <c r="M200" s="149"/>
      <c r="N200" s="149"/>
      <c r="O200" s="149"/>
      <c r="P200" s="149"/>
      <c r="Q200" s="149"/>
      <c r="R200" s="149"/>
      <c r="S200" s="149"/>
      <c r="T200" s="149"/>
    </row>
    <row r="201">
      <c r="A201" s="148"/>
      <c r="B201" s="149"/>
      <c r="C201" s="149"/>
      <c r="D201" s="150"/>
      <c r="E201" s="149"/>
      <c r="F201" s="149"/>
      <c r="G201" s="149"/>
      <c r="H201" s="149"/>
      <c r="I201" s="149"/>
      <c r="J201" s="149"/>
      <c r="K201" s="149"/>
      <c r="L201" s="149"/>
      <c r="M201" s="149"/>
      <c r="N201" s="149"/>
      <c r="O201" s="149"/>
      <c r="P201" s="149"/>
      <c r="Q201" s="149"/>
      <c r="R201" s="149"/>
      <c r="S201" s="149"/>
      <c r="T201" s="149"/>
    </row>
    <row r="202">
      <c r="A202" s="148"/>
      <c r="B202" s="149"/>
      <c r="C202" s="149"/>
      <c r="D202" s="150"/>
      <c r="E202" s="149"/>
      <c r="F202" s="149"/>
      <c r="G202" s="149"/>
      <c r="H202" s="149"/>
      <c r="I202" s="149"/>
      <c r="J202" s="149"/>
      <c r="K202" s="149"/>
      <c r="L202" s="149"/>
      <c r="M202" s="149"/>
      <c r="N202" s="149"/>
      <c r="O202" s="149"/>
      <c r="P202" s="149"/>
      <c r="Q202" s="149"/>
      <c r="R202" s="149"/>
      <c r="S202" s="149"/>
      <c r="T202" s="149"/>
    </row>
    <row r="203">
      <c r="A203" s="148"/>
      <c r="B203" s="149"/>
      <c r="C203" s="149"/>
      <c r="D203" s="150"/>
      <c r="E203" s="149"/>
      <c r="F203" s="149"/>
      <c r="G203" s="149"/>
      <c r="H203" s="149"/>
      <c r="I203" s="149"/>
      <c r="J203" s="149"/>
      <c r="K203" s="149"/>
      <c r="L203" s="149"/>
      <c r="M203" s="149"/>
      <c r="N203" s="149"/>
      <c r="O203" s="149"/>
      <c r="P203" s="149"/>
      <c r="Q203" s="149"/>
      <c r="R203" s="149"/>
      <c r="S203" s="149"/>
      <c r="T203" s="149"/>
    </row>
    <row r="204">
      <c r="A204" s="148"/>
      <c r="B204" s="149"/>
      <c r="C204" s="149"/>
      <c r="D204" s="150"/>
      <c r="E204" s="149"/>
      <c r="F204" s="149"/>
      <c r="G204" s="149"/>
      <c r="H204" s="149"/>
      <c r="I204" s="149"/>
      <c r="J204" s="149"/>
      <c r="K204" s="149"/>
      <c r="L204" s="149"/>
      <c r="M204" s="149"/>
      <c r="N204" s="149"/>
      <c r="O204" s="149"/>
      <c r="P204" s="149"/>
      <c r="Q204" s="149"/>
      <c r="R204" s="149"/>
      <c r="S204" s="149"/>
      <c r="T204" s="149"/>
    </row>
    <row r="205">
      <c r="A205" s="148"/>
      <c r="B205" s="149"/>
      <c r="C205" s="149"/>
      <c r="D205" s="150"/>
      <c r="E205" s="149"/>
      <c r="F205" s="149"/>
      <c r="G205" s="149"/>
      <c r="H205" s="149"/>
      <c r="I205" s="149"/>
      <c r="J205" s="149"/>
      <c r="K205" s="149"/>
      <c r="L205" s="149"/>
      <c r="M205" s="149"/>
      <c r="N205" s="149"/>
      <c r="O205" s="149"/>
      <c r="P205" s="149"/>
      <c r="Q205" s="149"/>
      <c r="R205" s="149"/>
      <c r="S205" s="149"/>
      <c r="T205" s="149"/>
    </row>
    <row r="206">
      <c r="A206" s="148"/>
      <c r="B206" s="149"/>
      <c r="C206" s="149"/>
      <c r="D206" s="150"/>
      <c r="E206" s="149"/>
      <c r="F206" s="149"/>
      <c r="G206" s="149"/>
      <c r="H206" s="149"/>
      <c r="I206" s="149"/>
      <c r="J206" s="149"/>
      <c r="K206" s="149"/>
      <c r="L206" s="149"/>
      <c r="M206" s="149"/>
      <c r="N206" s="149"/>
      <c r="O206" s="149"/>
      <c r="P206" s="149"/>
      <c r="Q206" s="149"/>
      <c r="R206" s="149"/>
      <c r="S206" s="149"/>
      <c r="T206" s="149"/>
    </row>
    <row r="207">
      <c r="A207" s="148"/>
      <c r="B207" s="149"/>
      <c r="C207" s="149"/>
      <c r="D207" s="150"/>
      <c r="E207" s="149"/>
      <c r="F207" s="149"/>
      <c r="G207" s="149"/>
      <c r="H207" s="149"/>
      <c r="I207" s="149"/>
      <c r="J207" s="149"/>
      <c r="K207" s="149"/>
      <c r="L207" s="149"/>
      <c r="M207" s="149"/>
      <c r="N207" s="149"/>
      <c r="O207" s="149"/>
      <c r="P207" s="149"/>
      <c r="Q207" s="149"/>
      <c r="R207" s="149"/>
      <c r="S207" s="149"/>
      <c r="T207" s="149"/>
    </row>
    <row r="208">
      <c r="A208" s="148"/>
      <c r="B208" s="149"/>
      <c r="C208" s="149"/>
      <c r="D208" s="150"/>
      <c r="E208" s="149"/>
      <c r="F208" s="149"/>
      <c r="G208" s="149"/>
      <c r="H208" s="149"/>
      <c r="I208" s="149"/>
      <c r="J208" s="149"/>
      <c r="K208" s="149"/>
      <c r="L208" s="149"/>
      <c r="M208" s="149"/>
      <c r="N208" s="149"/>
      <c r="O208" s="149"/>
      <c r="P208" s="149"/>
      <c r="Q208" s="149"/>
      <c r="R208" s="149"/>
      <c r="S208" s="149"/>
      <c r="T208" s="149"/>
    </row>
    <row r="209">
      <c r="A209" s="148"/>
      <c r="B209" s="149"/>
      <c r="C209" s="149"/>
      <c r="D209" s="150"/>
      <c r="E209" s="149"/>
      <c r="F209" s="149"/>
      <c r="G209" s="149"/>
      <c r="H209" s="149"/>
      <c r="I209" s="149"/>
      <c r="J209" s="149"/>
      <c r="K209" s="149"/>
      <c r="L209" s="149"/>
      <c r="M209" s="149"/>
      <c r="N209" s="149"/>
      <c r="O209" s="149"/>
      <c r="P209" s="149"/>
      <c r="Q209" s="149"/>
      <c r="R209" s="149"/>
      <c r="S209" s="149"/>
      <c r="T209" s="149"/>
    </row>
    <row r="210">
      <c r="A210" s="148"/>
      <c r="B210" s="149"/>
      <c r="C210" s="149"/>
      <c r="D210" s="150"/>
      <c r="E210" s="149"/>
      <c r="F210" s="149"/>
      <c r="G210" s="149"/>
      <c r="H210" s="149"/>
      <c r="I210" s="149"/>
      <c r="J210" s="149"/>
      <c r="K210" s="149"/>
      <c r="L210" s="149"/>
      <c r="M210" s="149"/>
      <c r="N210" s="149"/>
      <c r="O210" s="149"/>
      <c r="P210" s="149"/>
      <c r="Q210" s="149"/>
      <c r="R210" s="149"/>
      <c r="S210" s="149"/>
      <c r="T210" s="149"/>
    </row>
    <row r="211">
      <c r="A211" s="148"/>
      <c r="B211" s="149"/>
      <c r="C211" s="149"/>
      <c r="D211" s="150"/>
      <c r="E211" s="149"/>
      <c r="F211" s="149"/>
      <c r="G211" s="149"/>
      <c r="H211" s="149"/>
      <c r="I211" s="149"/>
      <c r="J211" s="149"/>
      <c r="K211" s="149"/>
      <c r="L211" s="149"/>
      <c r="M211" s="149"/>
      <c r="N211" s="149"/>
      <c r="O211" s="149"/>
      <c r="P211" s="149"/>
      <c r="Q211" s="149"/>
      <c r="R211" s="149"/>
      <c r="S211" s="149"/>
      <c r="T211" s="149"/>
    </row>
    <row r="212">
      <c r="A212" s="148"/>
      <c r="B212" s="149"/>
      <c r="C212" s="149"/>
      <c r="D212" s="150"/>
      <c r="E212" s="149"/>
      <c r="F212" s="149"/>
      <c r="G212" s="149"/>
      <c r="H212" s="149"/>
      <c r="I212" s="149"/>
      <c r="J212" s="149"/>
      <c r="K212" s="149"/>
      <c r="L212" s="149"/>
      <c r="M212" s="149"/>
      <c r="N212" s="149"/>
      <c r="O212" s="149"/>
      <c r="P212" s="149"/>
      <c r="Q212" s="149"/>
      <c r="R212" s="149"/>
      <c r="S212" s="149"/>
      <c r="T212" s="149"/>
    </row>
    <row r="213">
      <c r="A213" s="148"/>
      <c r="B213" s="149"/>
      <c r="C213" s="149"/>
      <c r="D213" s="150"/>
      <c r="E213" s="149"/>
      <c r="F213" s="149"/>
      <c r="G213" s="149"/>
      <c r="H213" s="149"/>
      <c r="I213" s="149"/>
      <c r="J213" s="149"/>
      <c r="K213" s="149"/>
      <c r="L213" s="149"/>
      <c r="M213" s="149"/>
      <c r="N213" s="149"/>
      <c r="O213" s="149"/>
      <c r="P213" s="149"/>
      <c r="Q213" s="149"/>
      <c r="R213" s="149"/>
      <c r="S213" s="149"/>
      <c r="T213" s="149"/>
    </row>
    <row r="214">
      <c r="A214" s="148"/>
      <c r="B214" s="149"/>
      <c r="C214" s="149"/>
      <c r="D214" s="150"/>
      <c r="E214" s="149"/>
      <c r="F214" s="149"/>
      <c r="G214" s="149"/>
      <c r="H214" s="149"/>
      <c r="I214" s="149"/>
      <c r="J214" s="149"/>
      <c r="K214" s="149"/>
      <c r="L214" s="149"/>
      <c r="M214" s="149"/>
      <c r="N214" s="149"/>
      <c r="O214" s="149"/>
      <c r="P214" s="149"/>
      <c r="Q214" s="149"/>
      <c r="R214" s="149"/>
      <c r="S214" s="149"/>
      <c r="T214" s="149"/>
    </row>
    <row r="215">
      <c r="A215" s="148"/>
      <c r="B215" s="149"/>
      <c r="C215" s="149"/>
      <c r="D215" s="150"/>
      <c r="E215" s="149"/>
      <c r="F215" s="149"/>
      <c r="G215" s="149"/>
      <c r="H215" s="149"/>
      <c r="I215" s="149"/>
      <c r="J215" s="149"/>
      <c r="K215" s="149"/>
      <c r="L215" s="149"/>
      <c r="M215" s="149"/>
      <c r="N215" s="149"/>
      <c r="O215" s="149"/>
      <c r="P215" s="149"/>
      <c r="Q215" s="149"/>
      <c r="R215" s="149"/>
      <c r="S215" s="149"/>
      <c r="T215" s="149"/>
    </row>
    <row r="216">
      <c r="A216" s="148"/>
      <c r="B216" s="149"/>
      <c r="C216" s="149"/>
      <c r="D216" s="150"/>
      <c r="E216" s="149"/>
      <c r="F216" s="149"/>
      <c r="G216" s="149"/>
      <c r="H216" s="149"/>
      <c r="I216" s="149"/>
      <c r="J216" s="149"/>
      <c r="K216" s="149"/>
      <c r="L216" s="149"/>
      <c r="M216" s="149"/>
      <c r="N216" s="149"/>
      <c r="O216" s="149"/>
      <c r="P216" s="149"/>
      <c r="Q216" s="149"/>
      <c r="R216" s="149"/>
      <c r="S216" s="149"/>
      <c r="T216" s="149"/>
    </row>
    <row r="217">
      <c r="A217" s="148"/>
      <c r="B217" s="149"/>
      <c r="C217" s="149"/>
      <c r="D217" s="150"/>
      <c r="E217" s="149"/>
      <c r="F217" s="149"/>
      <c r="G217" s="149"/>
      <c r="H217" s="149"/>
      <c r="I217" s="149"/>
      <c r="J217" s="149"/>
      <c r="K217" s="149"/>
      <c r="L217" s="149"/>
      <c r="M217" s="149"/>
      <c r="N217" s="149"/>
      <c r="O217" s="149"/>
      <c r="P217" s="149"/>
      <c r="Q217" s="149"/>
      <c r="R217" s="149"/>
      <c r="S217" s="149"/>
      <c r="T217" s="149"/>
    </row>
    <row r="218">
      <c r="A218" s="148"/>
      <c r="B218" s="149"/>
      <c r="C218" s="149"/>
      <c r="D218" s="150"/>
      <c r="E218" s="149"/>
      <c r="F218" s="149"/>
      <c r="G218" s="149"/>
      <c r="H218" s="149"/>
      <c r="I218" s="149"/>
      <c r="J218" s="149"/>
      <c r="K218" s="149"/>
      <c r="L218" s="149"/>
      <c r="M218" s="149"/>
      <c r="N218" s="149"/>
      <c r="O218" s="149"/>
      <c r="P218" s="149"/>
      <c r="Q218" s="149"/>
      <c r="R218" s="149"/>
      <c r="S218" s="149"/>
      <c r="T218" s="149"/>
    </row>
    <row r="219">
      <c r="A219" s="148"/>
      <c r="B219" s="149"/>
      <c r="C219" s="149"/>
      <c r="D219" s="150"/>
      <c r="E219" s="149"/>
      <c r="F219" s="149"/>
      <c r="G219" s="149"/>
      <c r="H219" s="149"/>
      <c r="I219" s="149"/>
      <c r="J219" s="149"/>
      <c r="K219" s="149"/>
      <c r="L219" s="149"/>
      <c r="M219" s="149"/>
      <c r="N219" s="149"/>
      <c r="O219" s="149"/>
      <c r="P219" s="149"/>
      <c r="Q219" s="149"/>
      <c r="R219" s="149"/>
      <c r="S219" s="149"/>
      <c r="T219" s="149"/>
    </row>
    <row r="220">
      <c r="A220" s="148"/>
      <c r="B220" s="149"/>
      <c r="C220" s="149"/>
      <c r="D220" s="150"/>
      <c r="E220" s="149"/>
      <c r="F220" s="149"/>
      <c r="G220" s="149"/>
      <c r="H220" s="149"/>
      <c r="I220" s="149"/>
      <c r="J220" s="149"/>
      <c r="K220" s="149"/>
      <c r="L220" s="149"/>
      <c r="M220" s="149"/>
      <c r="N220" s="149"/>
      <c r="O220" s="149"/>
      <c r="P220" s="149"/>
      <c r="Q220" s="149"/>
      <c r="R220" s="149"/>
      <c r="S220" s="149"/>
      <c r="T220" s="149"/>
    </row>
    <row r="221">
      <c r="A221" s="148"/>
      <c r="B221" s="149"/>
      <c r="C221" s="149"/>
      <c r="D221" s="150"/>
      <c r="E221" s="149"/>
      <c r="F221" s="149"/>
      <c r="G221" s="149"/>
      <c r="H221" s="149"/>
      <c r="I221" s="149"/>
      <c r="J221" s="149"/>
      <c r="K221" s="149"/>
      <c r="L221" s="149"/>
      <c r="M221" s="149"/>
      <c r="N221" s="149"/>
      <c r="O221" s="149"/>
      <c r="P221" s="149"/>
      <c r="Q221" s="149"/>
      <c r="R221" s="149"/>
      <c r="S221" s="149"/>
      <c r="T221" s="149"/>
    </row>
    <row r="222">
      <c r="A222" s="148"/>
      <c r="B222" s="149"/>
      <c r="C222" s="149"/>
      <c r="D222" s="150"/>
      <c r="E222" s="149"/>
      <c r="F222" s="149"/>
      <c r="G222" s="149"/>
      <c r="H222" s="149"/>
      <c r="I222" s="149"/>
      <c r="J222" s="149"/>
      <c r="K222" s="149"/>
      <c r="L222" s="149"/>
      <c r="M222" s="149"/>
      <c r="N222" s="149"/>
      <c r="O222" s="149"/>
      <c r="P222" s="149"/>
      <c r="Q222" s="149"/>
      <c r="R222" s="149"/>
      <c r="S222" s="149"/>
      <c r="T222" s="149"/>
    </row>
    <row r="223">
      <c r="A223" s="148"/>
      <c r="B223" s="149"/>
      <c r="C223" s="149"/>
      <c r="D223" s="150"/>
      <c r="E223" s="149"/>
      <c r="F223" s="149"/>
      <c r="G223" s="149"/>
      <c r="H223" s="149"/>
      <c r="I223" s="149"/>
      <c r="J223" s="149"/>
      <c r="K223" s="149"/>
      <c r="L223" s="149"/>
      <c r="M223" s="149"/>
      <c r="N223" s="149"/>
      <c r="O223" s="149"/>
      <c r="P223" s="149"/>
      <c r="Q223" s="149"/>
      <c r="R223" s="149"/>
      <c r="S223" s="149"/>
      <c r="T223" s="149"/>
    </row>
    <row r="224">
      <c r="A224" s="148"/>
      <c r="B224" s="149"/>
      <c r="C224" s="149"/>
      <c r="D224" s="150"/>
      <c r="E224" s="149"/>
      <c r="F224" s="149"/>
      <c r="G224" s="149"/>
      <c r="H224" s="149"/>
      <c r="I224" s="149"/>
      <c r="J224" s="149"/>
      <c r="K224" s="149"/>
      <c r="L224" s="149"/>
      <c r="M224" s="149"/>
      <c r="N224" s="149"/>
      <c r="O224" s="149"/>
      <c r="P224" s="149"/>
      <c r="Q224" s="149"/>
      <c r="R224" s="149"/>
      <c r="S224" s="149"/>
      <c r="T224" s="149"/>
    </row>
    <row r="225">
      <c r="A225" s="148"/>
      <c r="B225" s="149"/>
      <c r="C225" s="149"/>
      <c r="D225" s="150"/>
      <c r="E225" s="149"/>
      <c r="F225" s="149"/>
      <c r="G225" s="149"/>
      <c r="H225" s="149"/>
      <c r="I225" s="149"/>
      <c r="J225" s="149"/>
      <c r="K225" s="149"/>
      <c r="L225" s="149"/>
      <c r="M225" s="149"/>
      <c r="N225" s="149"/>
      <c r="O225" s="149"/>
      <c r="P225" s="149"/>
      <c r="Q225" s="149"/>
      <c r="R225" s="149"/>
      <c r="S225" s="149"/>
      <c r="T225" s="149"/>
    </row>
    <row r="226">
      <c r="A226" s="148"/>
      <c r="B226" s="149"/>
      <c r="C226" s="149"/>
      <c r="D226" s="150"/>
      <c r="E226" s="149"/>
      <c r="F226" s="149"/>
      <c r="G226" s="149"/>
      <c r="H226" s="149"/>
      <c r="I226" s="149"/>
      <c r="J226" s="149"/>
      <c r="K226" s="149"/>
      <c r="L226" s="149"/>
      <c r="M226" s="149"/>
      <c r="N226" s="149"/>
      <c r="O226" s="149"/>
      <c r="P226" s="149"/>
      <c r="Q226" s="149"/>
      <c r="R226" s="149"/>
      <c r="S226" s="149"/>
      <c r="T226" s="149"/>
    </row>
    <row r="227">
      <c r="A227" s="148"/>
      <c r="B227" s="149"/>
      <c r="C227" s="149"/>
      <c r="D227" s="150"/>
      <c r="E227" s="149"/>
      <c r="F227" s="149"/>
      <c r="G227" s="149"/>
      <c r="H227" s="149"/>
      <c r="I227" s="149"/>
      <c r="J227" s="149"/>
      <c r="K227" s="149"/>
      <c r="L227" s="149"/>
      <c r="M227" s="149"/>
      <c r="N227" s="149"/>
      <c r="O227" s="149"/>
      <c r="P227" s="149"/>
      <c r="Q227" s="149"/>
      <c r="R227" s="149"/>
      <c r="S227" s="149"/>
      <c r="T227" s="149"/>
    </row>
    <row r="228">
      <c r="A228" s="148"/>
      <c r="B228" s="149"/>
      <c r="C228" s="149"/>
      <c r="D228" s="150"/>
      <c r="E228" s="149"/>
      <c r="F228" s="149"/>
      <c r="G228" s="149"/>
      <c r="H228" s="149"/>
      <c r="I228" s="149"/>
      <c r="J228" s="149"/>
      <c r="K228" s="149"/>
      <c r="L228" s="149"/>
      <c r="M228" s="149"/>
      <c r="N228" s="149"/>
      <c r="O228" s="149"/>
      <c r="P228" s="149"/>
      <c r="Q228" s="149"/>
      <c r="R228" s="149"/>
      <c r="S228" s="149"/>
      <c r="T228" s="149"/>
    </row>
    <row r="229">
      <c r="A229" s="148"/>
      <c r="B229" s="149"/>
      <c r="C229" s="149"/>
      <c r="D229" s="150"/>
      <c r="E229" s="149"/>
      <c r="F229" s="149"/>
      <c r="G229" s="149"/>
      <c r="H229" s="149"/>
      <c r="I229" s="149"/>
      <c r="J229" s="149"/>
      <c r="K229" s="149"/>
      <c r="L229" s="149"/>
      <c r="M229" s="149"/>
      <c r="N229" s="149"/>
      <c r="O229" s="149"/>
      <c r="P229" s="149"/>
      <c r="Q229" s="149"/>
      <c r="R229" s="149"/>
      <c r="S229" s="149"/>
      <c r="T229" s="149"/>
    </row>
    <row r="230">
      <c r="A230" s="148"/>
      <c r="B230" s="149"/>
      <c r="C230" s="149"/>
      <c r="D230" s="150"/>
      <c r="E230" s="149"/>
      <c r="F230" s="149"/>
      <c r="G230" s="149"/>
      <c r="H230" s="149"/>
      <c r="I230" s="149"/>
      <c r="J230" s="149"/>
      <c r="K230" s="149"/>
      <c r="L230" s="149"/>
      <c r="M230" s="149"/>
      <c r="N230" s="149"/>
      <c r="O230" s="149"/>
      <c r="P230" s="149"/>
      <c r="Q230" s="149"/>
      <c r="R230" s="149"/>
      <c r="S230" s="149"/>
      <c r="T230" s="149"/>
    </row>
    <row r="231">
      <c r="A231" s="148"/>
      <c r="B231" s="149"/>
      <c r="C231" s="149"/>
      <c r="D231" s="150"/>
      <c r="E231" s="149"/>
      <c r="F231" s="149"/>
      <c r="G231" s="149"/>
      <c r="H231" s="149"/>
      <c r="I231" s="149"/>
      <c r="J231" s="149"/>
      <c r="K231" s="149"/>
      <c r="L231" s="149"/>
      <c r="M231" s="149"/>
      <c r="N231" s="149"/>
      <c r="O231" s="149"/>
      <c r="P231" s="149"/>
      <c r="Q231" s="149"/>
      <c r="R231" s="149"/>
      <c r="S231" s="149"/>
      <c r="T231" s="149"/>
    </row>
    <row r="232">
      <c r="A232" s="148"/>
      <c r="B232" s="149"/>
      <c r="C232" s="149"/>
      <c r="D232" s="150"/>
      <c r="E232" s="149"/>
      <c r="F232" s="149"/>
      <c r="G232" s="149"/>
      <c r="H232" s="149"/>
      <c r="I232" s="149"/>
      <c r="J232" s="149"/>
      <c r="K232" s="149"/>
      <c r="L232" s="149"/>
      <c r="M232" s="149"/>
      <c r="N232" s="149"/>
      <c r="O232" s="149"/>
      <c r="P232" s="149"/>
      <c r="Q232" s="149"/>
      <c r="R232" s="149"/>
      <c r="S232" s="149"/>
      <c r="T232" s="149"/>
    </row>
    <row r="233">
      <c r="A233" s="148"/>
      <c r="B233" s="149"/>
      <c r="C233" s="149"/>
      <c r="D233" s="150"/>
      <c r="E233" s="149"/>
      <c r="F233" s="149"/>
      <c r="G233" s="149"/>
      <c r="H233" s="149"/>
      <c r="I233" s="149"/>
      <c r="J233" s="149"/>
      <c r="K233" s="149"/>
      <c r="L233" s="149"/>
      <c r="M233" s="149"/>
      <c r="N233" s="149"/>
      <c r="O233" s="149"/>
      <c r="P233" s="149"/>
      <c r="Q233" s="149"/>
      <c r="R233" s="149"/>
      <c r="S233" s="149"/>
      <c r="T233" s="149"/>
    </row>
  </sheetData>
  <mergeCells>
    <mergeCell ref="Z1:AN1"/>
    <mergeCell ref="N1:Y1"/>
    <mergeCell ref="E1:M1"/>
    <mergeCell ref="D42:D43"/>
    <mergeCell ref="A42:A43"/>
    <mergeCell ref="D44:D45"/>
    <mergeCell ref="A44:A45"/>
    <mergeCell ref="D40:D41"/>
    <mergeCell ref="A40:A41"/>
    <mergeCell ref="A38:A39"/>
    <mergeCell ref="A36:A37"/>
    <mergeCell ref="A34:A35"/>
    <mergeCell ref="A32:A33"/>
    <mergeCell ref="A30:A31"/>
    <mergeCell ref="A28:A29"/>
    <mergeCell ref="A26:A27"/>
    <mergeCell ref="A24:A25"/>
    <mergeCell ref="A22:A23"/>
    <mergeCell ref="C6:C7"/>
    <mergeCell ref="B6:B7"/>
    <mergeCell ref="D32:D33"/>
    <mergeCell ref="D30:D31"/>
    <mergeCell ref="D28:D29"/>
    <mergeCell ref="B5:D5"/>
    <mergeCell ref="D22:D23"/>
    <mergeCell ref="D24:D25"/>
    <mergeCell ref="D26:D27"/>
    <mergeCell ref="D34:D35"/>
    <mergeCell ref="D36:D37"/>
    <mergeCell ref="D38:D39"/>
    <mergeCell ref="S4:S5"/>
    <mergeCell ref="P4:P5"/>
    <mergeCell ref="M4:M5"/>
    <mergeCell ref="E7:G7"/>
    <mergeCell ref="E8:G8"/>
    <mergeCell ref="H8:J8"/>
    <mergeCell ref="K8:M8"/>
    <mergeCell ref="N8:P8"/>
    <mergeCell ref="Q8:S8"/>
    <mergeCell ref="J4:J5"/>
    <mergeCell ref="G4:G5"/>
    <mergeCell ref="R4:R5"/>
    <mergeCell ref="Q4:Q5"/>
    <mergeCell ref="O4:O5"/>
    <mergeCell ref="N4:N5"/>
    <mergeCell ref="L4:L5"/>
    <mergeCell ref="K4:K5"/>
    <mergeCell ref="I4:I5"/>
    <mergeCell ref="H4:H5"/>
    <mergeCell ref="E4:E5"/>
    <mergeCell ref="F4:F5"/>
    <mergeCell ref="B4:D4"/>
    <mergeCell ref="E3:G3"/>
    <mergeCell ref="H3:J3"/>
    <mergeCell ref="K3:M3"/>
    <mergeCell ref="N3:P3"/>
    <mergeCell ref="Q3:S3"/>
    <mergeCell ref="T8:V8"/>
    <mergeCell ref="T4:T5"/>
    <mergeCell ref="T3:V3"/>
    <mergeCell ref="U4:U5"/>
    <mergeCell ref="V4:V5"/>
    <mergeCell ref="W8:Y8"/>
    <mergeCell ref="W4:W5"/>
    <mergeCell ref="W3:Y3"/>
    <mergeCell ref="X4:X5"/>
    <mergeCell ref="Y4:Y5"/>
    <mergeCell ref="Z8:AB8"/>
    <mergeCell ref="Z4:Z5"/>
    <mergeCell ref="Z3:AB3"/>
    <mergeCell ref="AA4:AA5"/>
    <mergeCell ref="AB4:AB5"/>
    <mergeCell ref="AC8:AE8"/>
    <mergeCell ref="AC4:AC5"/>
    <mergeCell ref="AC3:AE3"/>
    <mergeCell ref="AD4:AD5"/>
    <mergeCell ref="AE4:AE5"/>
    <mergeCell ref="AF8:AH8"/>
    <mergeCell ref="AF4:AF5"/>
    <mergeCell ref="AF3:AH3"/>
    <mergeCell ref="AG4:AG5"/>
    <mergeCell ref="AH4:AH5"/>
    <mergeCell ref="AI8:AK8"/>
    <mergeCell ref="AI4:AI5"/>
    <mergeCell ref="AI3:AK3"/>
    <mergeCell ref="AJ4:AJ5"/>
    <mergeCell ref="AK4:AK5"/>
    <mergeCell ref="AL8:AN8"/>
    <mergeCell ref="AL4:AL5"/>
    <mergeCell ref="AL3:AN3"/>
    <mergeCell ref="AM4:AM5"/>
    <mergeCell ref="AN4:AN5"/>
    <mergeCell ref="H7:J7"/>
    <mergeCell ref="K7:M7"/>
    <mergeCell ref="N7:P7"/>
    <mergeCell ref="Q7:S7"/>
    <mergeCell ref="T7:V7"/>
    <mergeCell ref="W7:Y7"/>
    <mergeCell ref="Z7:AB7"/>
    <mergeCell ref="AC7:AE7"/>
    <mergeCell ref="AF7:AH7"/>
    <mergeCell ref="AI7:AK7"/>
    <mergeCell ref="AL7:AN7"/>
    <mergeCell ref="E2:G2"/>
    <mergeCell ref="H2:J2"/>
    <mergeCell ref="K2:M2"/>
    <mergeCell ref="N2:P2"/>
    <mergeCell ref="Q2:S2"/>
    <mergeCell ref="T2:V2"/>
    <mergeCell ref="W2:Y2"/>
    <mergeCell ref="Z2:AB2"/>
    <mergeCell ref="AC2:AE2"/>
    <mergeCell ref="AF2:AH2"/>
    <mergeCell ref="AI2:AK2"/>
    <mergeCell ref="AL2:AN2"/>
    <mergeCell ref="A1:D2"/>
  </mergeCells>
  <pageMargins left="0.7" right="0.7" top="0.75" bottom="0.75" header="0.3" footer="0.3"/>
</worksheet>
</file>

<file path=xl/worksheets/sheet3.xml><?xml version="1.0" encoding="utf-8"?>
<x:worksheet xmlns:x="http://schemas.openxmlformats.org/spreadsheetml/2006/main">
  <x:sheetViews>
    <x:sheetView showGridLines="0" workbookViewId="0">
      <x:pane xSplit="3" ySplit="4" topLeftCell="D5" activePane="bottomRight" state="frozen"/>
    </x:sheetView>
  </x:sheetViews>
  <x:sheetFormatPr defaultRowHeight="16"/>
  <x:cols>
    <x:col min="1" max="1" width="4.174135684967041" hidden="0" customWidth="1"/>
    <x:col min="2" max="2" width="24" hidden="0" customWidth="1"/>
    <x:col min="3" max="3" width="28" hidden="0" customWidth="1"/>
    <x:col min="4" max="4" width="20" hidden="0" customWidth="1"/>
    <x:col min="5" max="5" width="18" hidden="0" customWidth="1"/>
    <x:col min="6" max="6" width="28"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x:c r="B1" s="526" t="str">
        <x:v>TÀI CHÍNH CHI TIẾT INViBROWSER</x:v>
      </x:c>
      <x:c r="C1" s="526"/>
      <x:c r="D1" s="526"/>
      <x:c r="E1" s="526"/>
      <x:c r="F1" s="526"/>
      <x:c r="G1"/>
      <x:c r="H1"/>
      <x:c r="I1"/>
      <x:c r="J1"/>
      <x:c r="K1"/>
      <x:c r="L1"/>
      <x:c r="M1"/>
      <x:c r="N1"/>
      <x:c r="O1"/>
      <x:c r="P1"/>
      <x:c r="Q1"/>
      <x:c r="R1"/>
      <x:c r="S1"/>
      <x:c r="T1"/>
      <x:c r="U1"/>
      <x:c r="V1"/>
      <x:c r="W1"/>
    </x:row>
    <x:row r="2">
      <x:c r="A2"/>
      <x:c r="B2"/>
      <x:c r="C2"/>
      <x:c r="D2"/>
      <x:c r="E2"/>
      <x:c r="F2"/>
      <x:c r="G2"/>
      <x:c r="H2"/>
      <x:c r="I2"/>
      <x:c r="J2"/>
      <x:c r="K2"/>
      <x:c r="L2"/>
      <x:c r="M2"/>
      <x:c r="N2"/>
      <x:c r="O2"/>
      <x:c r="P2"/>
      <x:c r="Q2"/>
      <x:c r="R2"/>
      <x:c r="S2"/>
      <x:c r="T2"/>
      <x:c r="U2"/>
      <x:c r="V2"/>
      <x:c r="W2"/>
    </x:row>
    <x:row r="3">
      <x:c r="A3"/>
      <x:c r="B3" s="531" t="str">
        <x:v>Hạng mục</x:v>
      </x:c>
      <x:c r="C3" s="531" t="str">
        <x:v>Định nghĩa</x:v>
      </x:c>
      <x:c r="D3" s="531" t="str">
        <x:v>Nguồn</x:v>
      </x:c>
      <x:c r="E3" s="531" t="str">
        <x:v>Tình trạng</x:v>
      </x:c>
      <x:c r="F3" s="531" t="str">
        <x:v>Ghi chú</x:v>
      </x:c>
      <x:c r="G3"/>
      <x:c r="H3"/>
      <x:c r="I3"/>
      <x:c r="J3"/>
      <x:c r="K3"/>
      <x:c r="L3"/>
      <x:c r="M3"/>
      <x:c r="N3"/>
      <x:c r="O3"/>
      <x:c r="P3"/>
      <x:c r="Q3"/>
      <x:c r="R3"/>
      <x:c r="S3"/>
      <x:c r="T3"/>
      <x:c r="U3"/>
      <x:c r="V3"/>
      <x:c r="W3"/>
    </x:row>
    <x:row r="4" ht="53.57143020629883" customHeight="1">
      <x:c r="A4"/>
      <x:c r="B4" s="512" t="str">
        <x:v>Pricing / ARPU</x:v>
      </x:c>
      <x:c r="C4" s="512" t="str">
        <x:v>Giá và doanh thu bình quân theo plan</x:v>
      </x:c>
      <x:c r="D4" s="512" t="str">
        <x:v>Product/Finance</x:v>
      </x:c>
      <x:c r="E4" s="512" t="str">
        <x:v>Cần bổ sung</x:v>
      </x:c>
      <x:c r="F4" s="512" t="str">
        <x:v>Không tự đặt số</x:v>
      </x:c>
      <x:c r="G4"/>
      <x:c r="H4"/>
      <x:c r="I4"/>
      <x:c r="J4"/>
      <x:c r="K4"/>
      <x:c r="L4"/>
      <x:c r="M4"/>
      <x:c r="N4"/>
      <x:c r="O4"/>
      <x:c r="P4"/>
      <x:c r="Q4"/>
      <x:c r="R4"/>
      <x:c r="S4"/>
      <x:c r="T4"/>
      <x:c r="U4"/>
      <x:c r="V4"/>
      <x:c r="W4"/>
    </x:row>
    <x:row r="5" ht="27.665050506591797" customHeight="1">
      <x:c r="A5"/>
      <x:c r="B5" s="512" t="str">
        <x:v>Marketing budget</x:v>
      </x:c>
      <x:c r="C5" s="512" t="str">
        <x:v>Ngân sách theo kênh/tháng</x:v>
      </x:c>
      <x:c r="D5" s="512" t="str">
        <x:v>GTM/Finance</x:v>
      </x:c>
      <x:c r="E5" s="512" t="str">
        <x:v>Cần bổ sung</x:v>
      </x:c>
      <x:c r="F5" s="512" t="str">
        <x:v>Dùng để tính CAC</x:v>
      </x:c>
      <x:c r="G5"/>
      <x:c r="H5"/>
      <x:c r="I5"/>
      <x:c r="J5"/>
      <x:c r="K5"/>
      <x:c r="L5"/>
      <x:c r="M5"/>
      <x:c r="N5"/>
      <x:c r="O5"/>
      <x:c r="P5"/>
      <x:c r="Q5"/>
      <x:c r="R5"/>
      <x:c r="S5"/>
      <x:c r="T5"/>
      <x:c r="U5"/>
      <x:c r="V5"/>
      <x:c r="W5"/>
    </x:row>
    <x:row r="6" ht="16.66666603088379" customHeight="1">
      <x:c r="A6"/>
      <x:c r="B6" s="512" t="str">
        <x:v>Payroll</x:v>
      </x:c>
      <x:c r="C6" s="512" t="str">
        <x:v>Chi phí nhân sự</x:v>
      </x:c>
      <x:c r="D6" s="512" t="str">
        <x:v>HR/Finance</x:v>
      </x:c>
      <x:c r="E6" s="512" t="str">
        <x:v>Cần bổ sung</x:v>
      </x:c>
      <x:c r="F6" s="512" t="str">
        <x:v>Link sheet Nhân sự dự án</x:v>
      </x:c>
      <x:c r="G6"/>
      <x:c r="H6"/>
      <x:c r="I6"/>
      <x:c r="J6"/>
      <x:c r="K6"/>
      <x:c r="L6"/>
      <x:c r="M6"/>
      <x:c r="N6"/>
      <x:c r="O6"/>
      <x:c r="P6"/>
      <x:c r="Q6"/>
      <x:c r="R6"/>
      <x:c r="S6"/>
      <x:c r="T6"/>
      <x:c r="U6"/>
      <x:c r="V6"/>
      <x:c r="W6"/>
    </x:row>
    <x:row r="7">
      <x:c r="A7"/>
      <x:c r="B7" s="512" t="str">
        <x:v>Infrastructure</x:v>
      </x:c>
      <x:c r="C7" s="512" t="str">
        <x:v>Hosting/tooling/support</x:v>
      </x:c>
      <x:c r="D7" s="512" t="str">
        <x:v>Product/Finance</x:v>
      </x:c>
      <x:c r="E7" s="512" t="str">
        <x:v>Cần bổ sung</x:v>
      </x:c>
      <x:c r="F7" s="512" t="str">
        <x:v>Phân bổ theo tháng</x:v>
      </x:c>
      <x:c r="G7"/>
      <x:c r="H7"/>
      <x:c r="I7"/>
      <x:c r="J7"/>
      <x:c r="K7"/>
      <x:c r="L7"/>
      <x:c r="M7"/>
      <x:c r="N7"/>
      <x:c r="O7"/>
      <x:c r="P7"/>
      <x:c r="Q7"/>
      <x:c r="R7"/>
      <x:c r="S7"/>
      <x:c r="T7"/>
      <x:c r="U7"/>
      <x:c r="V7"/>
      <x:c r="W7"/>
    </x:row>
    <x:row r="8" ht="16.66666603088379" customHeight="1">
      <x:c r="A8"/>
      <x:c r="B8" s="512" t="str">
        <x:v>Paid conversion</x:v>
      </x:c>
      <x:c r="C8" s="512" t="str">
        <x:v>D7 → Paid</x:v>
      </x:c>
      <x:c r="D8" s="512" t="str">
        <x:v>Sales/Billing</x:v>
      </x:c>
      <x:c r="E8" s="512" t="str">
        <x:v>Cần đo</x:v>
      </x:c>
      <x:c r="F8" s="512" t="str">
        <x:v>Đọc theo cohort</x:v>
      </x:c>
      <x:c r="G8"/>
      <x:c r="H8"/>
      <x:c r="I8"/>
      <x:c r="J8"/>
      <x:c r="K8"/>
      <x:c r="L8"/>
      <x:c r="M8"/>
      <x:c r="N8"/>
      <x:c r="O8"/>
      <x:c r="P8"/>
      <x:c r="Q8"/>
      <x:c r="R8"/>
      <x:c r="S8"/>
      <x:c r="T8"/>
      <x:c r="U8"/>
      <x:c r="V8"/>
      <x:c r="W8"/>
    </x:row>
    <x:row r="9" ht="18.465917587280273" customHeight="1">
      <x:c r="A9"/>
      <x:c r="B9" s="512" t="str">
        <x:v>Revenue</x:v>
      </x:c>
      <x:c r="C9" s="512" t="str">
        <x:v>Paid users × ARPU</x:v>
      </x:c>
      <x:c r="D9" s="512" t="str">
        <x:v>Billing</x:v>
      </x:c>
      <x:c r="E9" s="512" t="str">
        <x:v>Chưa có dữ liệu</x:v>
      </x:c>
      <x:c r="F9" s="512" t="str">
        <x:v>Tính theo ngày trả phí</x:v>
      </x:c>
      <x:c r="G9"/>
      <x:c r="H9"/>
      <x:c r="I9"/>
      <x:c r="J9"/>
      <x:c r="K9"/>
      <x:c r="L9"/>
      <x:c r="M9"/>
      <x:c r="N9"/>
      <x:c r="O9"/>
      <x:c r="P9"/>
      <x:c r="Q9"/>
      <x:c r="R9"/>
      <x:c r="S9"/>
      <x:c r="T9"/>
      <x:c r="U9"/>
      <x:c r="V9"/>
      <x:c r="W9"/>
    </x:row>
    <x:row r="10">
      <x:c r="A10"/>
      <x:c r="B10" s="512" t="str">
        <x:v>CAC</x:v>
      </x:c>
      <x:c r="C10" s="512" t="str">
        <x:v>Marketing spend / paid users</x:v>
      </x:c>
      <x:c r="D10" s="512" t="str">
        <x:v>Finance</x:v>
      </x:c>
      <x:c r="E10" s="512" t="str">
        <x:v>Chưa đủ dữ liệu</x:v>
      </x:c>
      <x:c r="F10" s="512" t="str">
        <x:v>Không dùng zero giả</x:v>
      </x:c>
      <x:c r="G10"/>
      <x:c r="H10"/>
      <x:c r="I10"/>
      <x:c r="J10"/>
      <x:c r="K10"/>
      <x:c r="L10"/>
      <x:c r="M10"/>
      <x:c r="N10"/>
      <x:c r="O10"/>
      <x:c r="P10"/>
      <x:c r="Q10"/>
      <x:c r="R10"/>
      <x:c r="S10"/>
      <x:c r="T10"/>
      <x:c r="U10"/>
      <x:c r="V10"/>
      <x:c r="W10"/>
    </x:row>
    <x:row r="11" ht="28.571428298950195" customHeight="1">
      <x:c r="A11"/>
      <x:c r="B11"/>
      <x:c r="C11"/>
      <x:c r="D11"/>
      <x:c r="E11"/>
      <x:c r="F11"/>
      <x:c r="G11"/>
      <x:c r="H11"/>
      <x:c r="I11"/>
      <x:c r="J11"/>
      <x:c r="K11"/>
      <x:c r="L11"/>
      <x:c r="M11"/>
      <x:c r="N11"/>
      <x:c r="O11"/>
      <x:c r="P11"/>
      <x:c r="Q11"/>
      <x:c r="R11"/>
      <x:c r="S11"/>
      <x:c r="T11"/>
      <x:c r="U11"/>
      <x:c r="V11"/>
      <x:c r="W11"/>
    </x:row>
    <x:row r="12" ht="16.66666603088379" customHeight="1">
      <x:c r="A12"/>
      <x:c r="B12"/>
      <x:c r="C12"/>
      <x:c r="D12"/>
      <x:c r="E12"/>
      <x:c r="F12"/>
      <x:c r="G12"/>
      <x:c r="H12"/>
      <x:c r="I12"/>
      <x:c r="J12"/>
      <x:c r="K12"/>
      <x:c r="L12"/>
      <x:c r="M12"/>
      <x:c r="N12"/>
      <x:c r="O12"/>
      <x:c r="P12"/>
      <x:c r="Q12"/>
      <x:c r="R12"/>
      <x:c r="S12"/>
      <x:c r="T12"/>
      <x:c r="U12"/>
      <x:c r="V12"/>
      <x:c r="W12"/>
    </x:row>
    <x:row r="13" ht="16.66666603088379" customHeight="1">
      <x:c r="A13"/>
      <x:c r="B13"/>
      <x:c r="C13"/>
      <x:c r="D13"/>
      <x:c r="E13"/>
      <x:c r="F13"/>
      <x:c r="G13"/>
      <x:c r="H13"/>
      <x:c r="I13"/>
      <x:c r="J13"/>
      <x:c r="K13"/>
      <x:c r="L13"/>
      <x:c r="M13"/>
      <x:c r="N13"/>
      <x:c r="O13"/>
      <x:c r="P13"/>
      <x:c r="Q13"/>
      <x:c r="R13"/>
      <x:c r="S13"/>
      <x:c r="T13"/>
      <x:c r="U13"/>
      <x:c r="V13"/>
      <x:c r="W13"/>
    </x:row>
    <x:row r="14" ht="16.66666603088379" customHeight="1">
      <x:c r="A14"/>
      <x:c r="B14"/>
      <x:c r="C14"/>
      <x:c r="D14"/>
      <x:c r="E14"/>
      <x:c r="F14"/>
      <x:c r="G14"/>
      <x:c r="H14"/>
      <x:c r="I14"/>
      <x:c r="J14"/>
      <x:c r="K14"/>
      <x:c r="L14"/>
      <x:c r="M14"/>
      <x:c r="N14"/>
      <x:c r="O14"/>
      <x:c r="P14"/>
      <x:c r="Q14"/>
      <x:c r="R14"/>
      <x:c r="S14"/>
      <x:c r="T14"/>
      <x:c r="U14"/>
      <x:c r="V14"/>
      <x:c r="W14"/>
    </x:row>
    <x:row r="15" ht="16.66666603088379" customHeight="1">
      <x:c r="A15"/>
      <x:c r="B15"/>
      <x:c r="C15"/>
      <x:c r="D15"/>
      <x:c r="E15"/>
      <x:c r="F15"/>
      <x:c r="G15"/>
      <x:c r="H15"/>
      <x:c r="I15"/>
      <x:c r="J15"/>
      <x:c r="K15"/>
      <x:c r="L15"/>
      <x:c r="M15"/>
      <x:c r="N15"/>
      <x:c r="O15"/>
      <x:c r="P15"/>
      <x:c r="Q15"/>
      <x:c r="R15"/>
      <x:c r="S15"/>
      <x:c r="T15"/>
      <x:c r="U15"/>
      <x:c r="V15"/>
      <x:c r="W15"/>
    </x:row>
    <x:row r="16" ht="19.047618865966797" customHeight="1">
      <x:c r="A16"/>
      <x:c r="B16"/>
      <x:c r="C16"/>
      <x:c r="D16"/>
      <x:c r="E16"/>
      <x:c r="F16"/>
      <x:c r="G16"/>
      <x:c r="H16"/>
      <x:c r="I16"/>
      <x:c r="J16"/>
      <x:c r="K16"/>
      <x:c r="L16"/>
      <x:c r="M16"/>
      <x:c r="N16"/>
      <x:c r="O16"/>
      <x:c r="P16"/>
      <x:c r="Q16"/>
      <x:c r="R16"/>
      <x:c r="S16"/>
      <x:c r="T16"/>
      <x:c r="U16"/>
      <x:c r="V16"/>
      <x:c r="W16"/>
    </x:row>
    <x:row r="17" ht="19.277606964111328" customHeight="1">
      <x:c r="A17"/>
      <x:c r="B17"/>
      <x:c r="C17"/>
      <x:c r="D17"/>
      <x:c r="E17"/>
      <x:c r="F17"/>
      <x:c r="G17"/>
      <x:c r="H17"/>
      <x:c r="I17"/>
      <x:c r="J17"/>
      <x:c r="K17"/>
      <x:c r="L17"/>
      <x:c r="M17"/>
      <x:c r="N17"/>
      <x:c r="O17"/>
      <x:c r="P17"/>
      <x:c r="Q17"/>
      <x:c r="R17"/>
      <x:c r="S17"/>
      <x:c r="T17"/>
      <x:c r="U17"/>
      <x:c r="V17"/>
      <x:c r="W17"/>
    </x:row>
    <x:row r="18" ht="28.571428298950195" customHeight="1">
      <x:c r="A18"/>
      <x:c r="B18"/>
      <x:c r="C18"/>
      <x:c r="D18"/>
      <x:c r="E18"/>
      <x:c r="F18"/>
      <x:c r="G18"/>
      <x:c r="H18"/>
      <x:c r="I18"/>
      <x:c r="J18"/>
      <x:c r="K18"/>
      <x:c r="L18"/>
      <x:c r="M18"/>
      <x:c r="N18"/>
      <x:c r="O18"/>
      <x:c r="P18"/>
      <x:c r="Q18"/>
      <x:c r="R18"/>
      <x:c r="S18"/>
      <x:c r="T18"/>
      <x:c r="U18"/>
      <x:c r="V18"/>
      <x:c r="W18"/>
    </x:row>
    <x:row r="19">
      <x:c r="A19"/>
      <x:c r="B19"/>
      <x:c r="C19"/>
      <x:c r="D19"/>
      <x:c r="E19"/>
      <x:c r="F19"/>
      <x:c r="G19"/>
      <x:c r="H19"/>
      <x:c r="I19"/>
      <x:c r="J19"/>
      <x:c r="K19"/>
      <x:c r="L19"/>
      <x:c r="M19"/>
      <x:c r="N19"/>
      <x:c r="O19"/>
      <x:c r="P19"/>
      <x:c r="Q19"/>
      <x:c r="R19"/>
      <x:c r="S19"/>
      <x:c r="T19"/>
      <x:c r="U19"/>
      <x:c r="V19"/>
      <x:c r="W19"/>
    </x:row>
    <x:row r="20">
      <x:c r="A20"/>
      <x:c r="B20"/>
      <x:c r="C20"/>
      <x:c r="D20"/>
      <x:c r="E20"/>
      <x:c r="F20"/>
      <x:c r="G20"/>
      <x:c r="H20"/>
      <x:c r="I20"/>
      <x:c r="J20"/>
      <x:c r="K20"/>
      <x:c r="L20"/>
      <x:c r="M20"/>
      <x:c r="N20"/>
      <x:c r="O20"/>
      <x:c r="P20"/>
      <x:c r="Q20"/>
      <x:c r="R20"/>
      <x:c r="S20"/>
      <x:c r="T20"/>
      <x:c r="U20"/>
      <x:c r="V20"/>
      <x:c r="W20"/>
    </x:row>
    <x:row r="21">
      <x:c r="A21"/>
      <x:c r="B21"/>
      <x:c r="C21"/>
      <x:c r="D21"/>
      <x:c r="E21"/>
      <x:c r="F21"/>
      <x:c r="G21"/>
      <x:c r="H21"/>
      <x:c r="I21"/>
      <x:c r="J21"/>
      <x:c r="K21"/>
      <x:c r="L21"/>
      <x:c r="M21"/>
      <x:c r="N21"/>
      <x:c r="O21"/>
      <x:c r="P21"/>
      <x:c r="Q21"/>
      <x:c r="R21"/>
      <x:c r="S21"/>
      <x:c r="T21"/>
      <x:c r="U21"/>
      <x:c r="V21"/>
      <x:c r="W21"/>
    </x:row>
    <x:row r="22" ht="16.66666603088379" customHeight="1">
      <x:c r="A22"/>
      <x:c r="B22"/>
      <x:c r="C22"/>
      <x:c r="D22"/>
      <x:c r="E22"/>
      <x:c r="F22"/>
      <x:c r="G22"/>
      <x:c r="H22"/>
      <x:c r="I22"/>
      <x:c r="J22"/>
      <x:c r="K22"/>
      <x:c r="L22"/>
      <x:c r="M22"/>
      <x:c r="N22"/>
      <x:c r="O22"/>
      <x:c r="P22"/>
      <x:c r="Q22"/>
      <x:c r="R22"/>
      <x:c r="S22"/>
      <x:c r="T22"/>
      <x:c r="U22"/>
      <x:c r="V22"/>
      <x:c r="W22"/>
    </x:row>
    <x:row r="23">
      <x:c r="A23"/>
      <x:c r="B23"/>
      <x:c r="C23"/>
      <x:c r="D23"/>
      <x:c r="E23"/>
      <x:c r="F23"/>
      <x:c r="G23"/>
      <x:c r="H23"/>
      <x:c r="I23"/>
      <x:c r="J23"/>
      <x:c r="K23"/>
      <x:c r="L23"/>
      <x:c r="M23"/>
      <x:c r="N23"/>
      <x:c r="O23"/>
      <x:c r="P23"/>
      <x:c r="Q23"/>
      <x:c r="R23"/>
      <x:c r="S23"/>
      <x:c r="T23"/>
      <x:c r="U23"/>
      <x:c r="V23"/>
      <x:c r="W23"/>
    </x:row>
    <x:row r="24" ht="16.66666603088379" customHeight="1">
      <x:c r="A24"/>
      <x:c r="B24"/>
      <x:c r="C24"/>
      <x:c r="D24"/>
      <x:c r="E24"/>
      <x:c r="F24"/>
      <x:c r="G24"/>
      <x:c r="H24"/>
      <x:c r="I24"/>
      <x:c r="J24"/>
      <x:c r="K24"/>
      <x:c r="L24"/>
      <x:c r="M24"/>
      <x:c r="N24"/>
      <x:c r="O24"/>
      <x:c r="P24"/>
      <x:c r="Q24"/>
      <x:c r="R24"/>
      <x:c r="S24"/>
      <x:c r="T24"/>
      <x:c r="U24"/>
      <x:c r="V24"/>
      <x:c r="W24"/>
    </x:row>
    <x:row r="25" ht="14.299251556396484" customHeight="1">
      <x:c r="A25"/>
      <x:c r="B25"/>
      <x:c r="C25"/>
      <x:c r="D25"/>
      <x:c r="E25"/>
      <x:c r="F25"/>
      <x:c r="G25"/>
      <x:c r="H25"/>
      <x:c r="I25"/>
      <x:c r="J25"/>
      <x:c r="K25"/>
      <x:c r="L25"/>
      <x:c r="M25"/>
      <x:c r="N25"/>
      <x:c r="O25"/>
      <x:c r="P25"/>
      <x:c r="Q25"/>
      <x:c r="R25"/>
      <x:c r="S25"/>
      <x:c r="T25"/>
      <x:c r="U25"/>
      <x:c r="V25"/>
      <x:c r="W25"/>
    </x:row>
    <x:row r="26" ht="16.66666603088379" customHeight="1">
      <x:c r="A26"/>
      <x:c r="B26"/>
      <x:c r="C26"/>
      <x:c r="D26"/>
      <x:c r="E26"/>
      <x:c r="F26"/>
      <x:c r="G26"/>
      <x:c r="H26"/>
      <x:c r="I26"/>
      <x:c r="J26"/>
      <x:c r="K26"/>
      <x:c r="L26"/>
      <x:c r="M26"/>
      <x:c r="N26"/>
      <x:c r="O26"/>
      <x:c r="P26"/>
      <x:c r="Q26"/>
      <x:c r="R26"/>
      <x:c r="S26"/>
      <x:c r="T26"/>
      <x:c r="U26"/>
      <x:c r="V26"/>
      <x:c r="W26"/>
    </x:row>
    <x:row r="27" ht="26.799251556396484" customHeight="1">
      <x:c r="A27"/>
      <x:c r="B27"/>
      <x:c r="C27"/>
      <x:c r="D27"/>
      <x:c r="E27"/>
      <x:c r="F27"/>
      <x:c r="G27"/>
      <x:c r="H27"/>
      <x:c r="I27"/>
      <x:c r="J27"/>
      <x:c r="K27"/>
      <x:c r="L27"/>
      <x:c r="M27"/>
      <x:c r="N27"/>
      <x:c r="O27"/>
      <x:c r="P27"/>
      <x:c r="Q27"/>
      <x:c r="R27"/>
      <x:c r="S27"/>
      <x:c r="T27"/>
      <x:c r="U27"/>
      <x:c r="V27"/>
      <x:c r="W27"/>
    </x:row>
    <x:row r="28" ht="27.394489288330078" customHeight="1">
      <x:c r="A28"/>
      <x:c r="B28"/>
      <x:c r="C28"/>
      <x:c r="D28"/>
      <x:c r="E28"/>
      <x:c r="F28"/>
      <x:c r="G28"/>
      <x:c r="H28"/>
      <x:c r="I28"/>
      <x:c r="J28"/>
      <x:c r="K28"/>
      <x:c r="L28"/>
      <x:c r="M28"/>
      <x:c r="N28"/>
      <x:c r="O28"/>
      <x:c r="P28"/>
      <x:c r="Q28"/>
      <x:c r="R28"/>
      <x:c r="S28"/>
      <x:c r="T28"/>
      <x:c r="U28"/>
      <x:c r="V28"/>
      <x:c r="W28"/>
    </x:row>
    <x:row r="29" ht="27.394489288330078" customHeight="1">
      <x:c r="A29"/>
      <x:c r="B29"/>
      <x:c r="C29"/>
      <x:c r="D29"/>
      <x:c r="E29"/>
      <x:c r="F29"/>
      <x:c r="G29"/>
      <x:c r="H29"/>
      <x:c r="I29"/>
      <x:c r="J29"/>
      <x:c r="K29"/>
      <x:c r="L29"/>
      <x:c r="M29"/>
      <x:c r="N29"/>
      <x:c r="O29"/>
      <x:c r="P29"/>
      <x:c r="Q29"/>
      <x:c r="R29"/>
      <x:c r="S29"/>
      <x:c r="T29"/>
      <x:c r="U29"/>
      <x:c r="V29"/>
      <x:c r="W29"/>
    </x:row>
    <x:row r="30" ht="24.418298721313477" customHeight="1">
      <x:c r="A30"/>
      <x:c r="B30"/>
      <x:c r="C30"/>
      <x:c r="D30"/>
      <x:c r="E30"/>
      <x:c r="F30"/>
      <x:c r="G30"/>
      <x:c r="H30"/>
      <x:c r="I30"/>
      <x:c r="J30"/>
      <x:c r="K30"/>
      <x:c r="L30"/>
      <x:c r="M30"/>
      <x:c r="N30"/>
      <x:c r="O30"/>
      <x:c r="P30"/>
      <x:c r="Q30"/>
      <x:c r="R30"/>
      <x:c r="S30"/>
      <x:c r="T30"/>
      <x:c r="U30"/>
      <x:c r="V30"/>
      <x:c r="W30"/>
    </x:row>
    <x:row r="31" ht="24.418298721313477" customHeight="1">
      <x:c r="A31"/>
      <x:c r="B31"/>
      <x:c r="C31"/>
      <x:c r="D31"/>
      <x:c r="E31"/>
      <x:c r="F31"/>
      <x:c r="G31"/>
      <x:c r="H31"/>
      <x:c r="I31"/>
      <x:c r="J31"/>
      <x:c r="K31"/>
      <x:c r="L31"/>
      <x:c r="M31"/>
      <x:c r="N31"/>
      <x:c r="O31"/>
      <x:c r="P31"/>
      <x:c r="Q31"/>
      <x:c r="R31"/>
      <x:c r="S31"/>
      <x:c r="T31"/>
      <x:c r="U31"/>
      <x:c r="V31"/>
      <x:c r="W31"/>
    </x:row>
    <x:row r="32" ht="16.66666603088379" customHeight="1">
      <x:c r="A32"/>
      <x:c r="B32"/>
      <x:c r="C32"/>
      <x:c r="D32"/>
      <x:c r="E32"/>
      <x:c r="F32"/>
      <x:c r="G32"/>
      <x:c r="H32"/>
      <x:c r="I32"/>
      <x:c r="J32"/>
      <x:c r="K32"/>
      <x:c r="L32"/>
      <x:c r="M32"/>
      <x:c r="N32"/>
      <x:c r="O32"/>
      <x:c r="P32"/>
      <x:c r="Q32"/>
      <x:c r="R32"/>
      <x:c r="S32"/>
      <x:c r="T32"/>
      <x:c r="U32"/>
      <x:c r="V32"/>
      <x:c r="W32"/>
    </x:row>
    <x:row r="33">
      <x:c r="A33"/>
      <x:c r="B33"/>
      <x:c r="C33"/>
      <x:c r="D33"/>
      <x:c r="E33"/>
      <x:c r="F33"/>
      <x:c r="G33"/>
      <x:c r="H33"/>
      <x:c r="I33"/>
      <x:c r="J33"/>
      <x:c r="K33"/>
      <x:c r="L33"/>
      <x:c r="M33"/>
      <x:c r="N33"/>
      <x:c r="O33"/>
      <x:c r="P33"/>
      <x:c r="Q33"/>
      <x:c r="R33"/>
      <x:c r="S33"/>
      <x:c r="T33"/>
      <x:c r="U33"/>
      <x:c r="V33"/>
      <x:c r="W33"/>
    </x:row>
    <x:row r="34" ht="16.66666603088379" customHeight="1">
      <x:c r="A34"/>
      <x:c r="B34"/>
      <x:c r="C34"/>
      <x:c r="D34"/>
      <x:c r="E34"/>
      <x:c r="F34"/>
      <x:c r="G34"/>
      <x:c r="H34"/>
      <x:c r="I34"/>
      <x:c r="J34"/>
      <x:c r="K34"/>
      <x:c r="L34"/>
      <x:c r="M34"/>
      <x:c r="N34"/>
      <x:c r="O34"/>
      <x:c r="P34"/>
      <x:c r="Q34"/>
      <x:c r="R34"/>
      <x:c r="S34"/>
      <x:c r="T34"/>
      <x:c r="U34"/>
      <x:c r="V34"/>
      <x:c r="W34"/>
    </x:row>
    <x:row r="35">
      <x:c r="A35"/>
      <x:c r="B35"/>
      <x:c r="C35"/>
      <x:c r="D35"/>
      <x:c r="E35"/>
      <x:c r="F35"/>
      <x:c r="G35"/>
      <x:c r="H35"/>
      <x:c r="I35"/>
      <x:c r="J35"/>
      <x:c r="K35"/>
      <x:c r="L35"/>
      <x:c r="M35"/>
      <x:c r="N35"/>
      <x:c r="O35"/>
      <x:c r="P35"/>
      <x:c r="Q35"/>
      <x:c r="R35"/>
      <x:c r="S35"/>
      <x:c r="T35"/>
      <x:c r="U35"/>
      <x:c r="V35"/>
      <x:c r="W35"/>
    </x:row>
    <x:row r="36" ht="16.66666603088379" customHeight="1">
      <x:c r="A36"/>
      <x:c r="B36"/>
      <x:c r="C36"/>
      <x:c r="D36"/>
      <x:c r="E36"/>
      <x:c r="F36"/>
      <x:c r="G36"/>
      <x:c r="H36"/>
      <x:c r="I36"/>
      <x:c r="J36"/>
      <x:c r="K36"/>
      <x:c r="L36"/>
      <x:c r="M36"/>
      <x:c r="N36"/>
      <x:c r="O36"/>
      <x:c r="P36"/>
      <x:c r="Q36"/>
      <x:c r="R36"/>
      <x:c r="S36"/>
      <x:c r="T36"/>
      <x:c r="U36"/>
      <x:c r="V36"/>
      <x:c r="W36"/>
    </x:row>
    <x:row r="37">
      <x:c r="A37"/>
      <x:c r="B37"/>
      <x:c r="C37"/>
      <x:c r="D37"/>
      <x:c r="E37"/>
      <x:c r="F37"/>
      <x:c r="G37"/>
      <x:c r="H37"/>
      <x:c r="I37"/>
      <x:c r="J37"/>
      <x:c r="K37"/>
      <x:c r="L37"/>
      <x:c r="M37"/>
      <x:c r="N37"/>
      <x:c r="O37"/>
      <x:c r="P37"/>
      <x:c r="Q37"/>
      <x:c r="R37"/>
      <x:c r="S37"/>
      <x:c r="T37"/>
      <x:c r="U37"/>
      <x:c r="V37"/>
      <x:c r="W37"/>
    </x:row>
    <x:row r="38" ht="16.66666603088379" customHeight="1">
      <x:c r="A38"/>
      <x:c r="B38"/>
      <x:c r="C38"/>
      <x:c r="D38"/>
      <x:c r="E38"/>
      <x:c r="F38"/>
      <x:c r="G38"/>
      <x:c r="H38"/>
      <x:c r="I38"/>
      <x:c r="J38"/>
      <x:c r="K38"/>
      <x:c r="L38"/>
      <x:c r="M38"/>
      <x:c r="N38"/>
      <x:c r="O38"/>
      <x:c r="P38"/>
      <x:c r="Q38"/>
      <x:c r="R38"/>
      <x:c r="S38"/>
      <x:c r="T38"/>
      <x:c r="U38"/>
      <x:c r="V38"/>
      <x:c r="W38"/>
    </x:row>
    <x:row r="39" ht="22.03734588623047" customHeight="1">
      <x:c r="A39"/>
      <x:c r="B39"/>
      <x:c r="C39"/>
      <x:c r="D39"/>
      <x:c r="E39"/>
      <x:c r="F39"/>
      <x:c r="G39"/>
      <x:c r="H39"/>
      <x:c r="I39"/>
      <x:c r="J39"/>
      <x:c r="K39"/>
      <x:c r="L39"/>
      <x:c r="M39"/>
      <x:c r="N39"/>
      <x:c r="O39"/>
      <x:c r="P39"/>
      <x:c r="Q39"/>
      <x:c r="R39"/>
      <x:c r="S39"/>
      <x:c r="T39"/>
      <x:c r="U39"/>
      <x:c r="V39"/>
      <x:c r="W39"/>
    </x:row>
    <x:row r="40" ht="22.84903335571289" customHeight="1">
      <x:c r="A40"/>
      <x:c r="B40"/>
      <x:c r="C40"/>
      <x:c r="D40"/>
      <x:c r="E40"/>
      <x:c r="F40"/>
      <x:c r="G40"/>
      <x:c r="H40"/>
      <x:c r="I40"/>
      <x:c r="J40"/>
      <x:c r="K40"/>
      <x:c r="L40"/>
      <x:c r="M40"/>
      <x:c r="N40"/>
      <x:c r="O40"/>
      <x:c r="P40"/>
      <x:c r="Q40"/>
      <x:c r="R40"/>
      <x:c r="S40"/>
      <x:c r="T40"/>
      <x:c r="U40"/>
      <x:c r="V40"/>
      <x:c r="W40"/>
    </x:row>
    <x:row r="41">
      <x:c r="A41"/>
      <x:c r="B41"/>
      <x:c r="C41"/>
      <x:c r="D41"/>
      <x:c r="E41"/>
      <x:c r="F41"/>
      <x:c r="G41"/>
      <x:c r="H41"/>
      <x:c r="I41"/>
      <x:c r="J41"/>
      <x:c r="K41"/>
      <x:c r="L41"/>
      <x:c r="M41"/>
      <x:c r="N41"/>
      <x:c r="O41"/>
      <x:c r="P41"/>
      <x:c r="Q41"/>
      <x:c r="R41"/>
      <x:c r="S41"/>
      <x:c r="T41"/>
      <x:c r="U41"/>
      <x:c r="V41"/>
      <x:c r="W41"/>
    </x:row>
    <x:row r="42">
      <x:c r="A42"/>
      <x:c r="B42"/>
      <x:c r="C42"/>
      <x:c r="D42"/>
      <x:c r="E42"/>
      <x:c r="F42"/>
      <x:c r="G42"/>
      <x:c r="H42"/>
      <x:c r="I42"/>
      <x:c r="J42"/>
      <x:c r="K42"/>
      <x:c r="L42"/>
      <x:c r="M42"/>
      <x:c r="N42"/>
      <x:c r="O42"/>
      <x:c r="P42"/>
      <x:c r="Q42"/>
      <x:c r="R42"/>
      <x:c r="S42"/>
      <x:c r="T42"/>
      <x:c r="U42"/>
      <x:c r="V42"/>
      <x:c r="W42"/>
    </x:row>
    <x:row r="43" ht="29.99188995361328" customHeight="1">
      <x:c r="A43"/>
      <x:c r="B43"/>
      <x:c r="C43"/>
      <x:c r="D43"/>
      <x:c r="E43"/>
      <x:c r="F43"/>
      <x:c r="G43"/>
      <x:c r="H43"/>
      <x:c r="I43"/>
      <x:c r="J43"/>
      <x:c r="K43"/>
      <x:c r="L43"/>
      <x:c r="M43"/>
      <x:c r="N43"/>
      <x:c r="O43"/>
      <x:c r="P43"/>
      <x:c r="Q43"/>
      <x:c r="R43"/>
      <x:c r="S43"/>
      <x:c r="T43"/>
      <x:c r="U43"/>
      <x:c r="V43"/>
      <x:c r="W43"/>
    </x:row>
    <x:row r="44" ht="28.571428298950195" customHeight="1">
      <x:c r="A44"/>
      <x:c r="B44"/>
      <x:c r="C44"/>
      <x:c r="D44"/>
      <x:c r="E44"/>
      <x:c r="F44"/>
      <x:c r="G44"/>
      <x:c r="H44"/>
      <x:c r="I44"/>
      <x:c r="J44"/>
      <x:c r="K44"/>
      <x:c r="L44"/>
      <x:c r="M44"/>
      <x:c r="N44"/>
      <x:c r="O44"/>
      <x:c r="P44"/>
      <x:c r="Q44"/>
      <x:c r="R44"/>
      <x:c r="S44"/>
      <x:c r="T44"/>
      <x:c r="U44"/>
      <x:c r="V44"/>
      <x:c r="W44"/>
    </x:row>
    <x:row r="45">
      <x:c r="A45"/>
      <x:c r="B45"/>
      <x:c r="C45"/>
      <x:c r="D45"/>
      <x:c r="E45"/>
      <x:c r="F45"/>
      <x:c r="G45"/>
      <x:c r="H45"/>
      <x:c r="I45"/>
      <x:c r="J45"/>
      <x:c r="K45"/>
      <x:c r="L45"/>
      <x:c r="M45"/>
      <x:c r="N45"/>
      <x:c r="O45"/>
      <x:c r="P45"/>
      <x:c r="Q45"/>
      <x:c r="R45"/>
      <x:c r="S45"/>
      <x:c r="T45"/>
      <x:c r="U45"/>
      <x:c r="V45"/>
      <x:c r="W45"/>
    </x:row>
    <x:row r="46" ht="16.66666603088379" customHeight="1">
      <x:c r="A46"/>
      <x:c r="B46"/>
      <x:c r="C46"/>
      <x:c r="D46"/>
      <x:c r="E46"/>
      <x:c r="F46"/>
      <x:c r="G46"/>
      <x:c r="H46"/>
      <x:c r="I46"/>
      <x:c r="J46"/>
      <x:c r="K46"/>
      <x:c r="L46"/>
      <x:c r="M46"/>
      <x:c r="N46"/>
      <x:c r="O46"/>
      <x:c r="P46"/>
      <x:c r="Q46"/>
      <x:c r="R46"/>
      <x:c r="S46"/>
      <x:c r="T46"/>
      <x:c r="U46"/>
      <x:c r="V46"/>
      <x:c r="W46"/>
    </x:row>
    <x:row r="47">
      <x:c r="A47"/>
      <x:c r="B47"/>
      <x:c r="C47"/>
      <x:c r="D47"/>
      <x:c r="E47"/>
      <x:c r="F47"/>
      <x:c r="G47"/>
      <x:c r="H47"/>
      <x:c r="I47"/>
      <x:c r="J47"/>
      <x:c r="K47"/>
      <x:c r="L47"/>
      <x:c r="M47"/>
      <x:c r="N47"/>
      <x:c r="O47"/>
      <x:c r="P47"/>
      <x:c r="Q47"/>
      <x:c r="R47"/>
      <x:c r="S47"/>
      <x:c r="T47"/>
      <x:c r="U47"/>
      <x:c r="V47"/>
      <x:c r="W47"/>
    </x:row>
    <x:row r="48" ht="28.571428298950195" customHeight="1">
      <x:c r="A48"/>
      <x:c r="B48"/>
      <x:c r="C48"/>
      <x:c r="D48"/>
      <x:c r="E48"/>
      <x:c r="F48"/>
      <x:c r="G48"/>
      <x:c r="H48"/>
      <x:c r="I48"/>
      <x:c r="J48"/>
      <x:c r="K48"/>
      <x:c r="L48"/>
      <x:c r="M48"/>
      <x:c r="N48"/>
      <x:c r="O48"/>
      <x:c r="P48"/>
      <x:c r="Q48"/>
      <x:c r="R48"/>
      <x:c r="S48"/>
      <x:c r="T48"/>
      <x:c r="U48"/>
      <x:c r="V48"/>
      <x:c r="W48"/>
    </x:row>
    <x:row r="49">
      <x:c r="A49"/>
      <x:c r="B49"/>
      <x:c r="C49"/>
      <x:c r="D49"/>
      <x:c r="E49"/>
      <x:c r="F49"/>
      <x:c r="G49"/>
      <x:c r="H49"/>
      <x:c r="I49"/>
      <x:c r="J49"/>
      <x:c r="K49"/>
      <x:c r="L49"/>
      <x:c r="M49"/>
      <x:c r="N49"/>
      <x:c r="O49"/>
      <x:c r="P49"/>
      <x:c r="Q49"/>
      <x:c r="R49"/>
      <x:c r="S49"/>
      <x:c r="T49"/>
      <x:c r="U49"/>
      <x:c r="V49"/>
      <x:c r="W49"/>
    </x:row>
    <x:row r="50" ht="16.66666603088379" customHeight="1">
      <x:c r="A50"/>
      <x:c r="B50"/>
      <x:c r="C50"/>
      <x:c r="D50"/>
      <x:c r="E50"/>
      <x:c r="F50"/>
      <x:c r="G50"/>
      <x:c r="H50"/>
      <x:c r="I50"/>
      <x:c r="J50"/>
      <x:c r="K50"/>
      <x:c r="L50"/>
      <x:c r="M50"/>
      <x:c r="N50"/>
      <x:c r="O50"/>
      <x:c r="P50"/>
      <x:c r="Q50"/>
      <x:c r="R50"/>
      <x:c r="S50"/>
      <x:c r="T50"/>
      <x:c r="U50"/>
      <x:c r="V50"/>
      <x:c r="W50"/>
    </x:row>
    <x:row r="51">
      <x:c r="A51" s="235"/>
      <x:c r="B51" s="236"/>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x:c r="B53" s="238"/>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x:c r="B55" s="238"/>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B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6"/>
  <x:cols>
    <x:col min="25" max="25" width="11.211267471313477" hidden="0" customWidth="1"/>
    <x:col min="33" max="33" width="11.211267471313477" hidden="0" customWidth="1"/>
    <x:col min="41" max="41" width="11.211267471313477" hidden="0" customWidth="1"/>
    <x:col min="49" max="49" width="11.211267471313477" hidden="0" customWidth="1"/>
    <x:col min="1" max="1" width="10.776659965515137" hidden="0" customWidth="1"/>
    <x:col min="9" max="9" width="13" hidden="0" customWidth="1"/>
    <x:col min="17" max="17" width="11.211267471313477" hidden="0" customWidth="1"/>
    <x:col min="26" max="26" width="11.211267471313477" hidden="0" customWidth="1"/>
    <x:col min="34" max="34" width="11.211267471313477" hidden="0" customWidth="1"/>
    <x:col min="42" max="42" width="11.211267471313477" hidden="0" customWidth="1"/>
    <x:col min="2" max="2" width="26" hidden="0" customWidth="1"/>
    <x:col min="10" max="10" width="13" hidden="0" customWidth="1"/>
    <x:col min="18" max="18" width="11.211267471313477" hidden="0" customWidth="1"/>
    <x:col min="35" max="35" width="11.211267471313477" hidden="0" customWidth="1"/>
    <x:col min="43" max="43" width="11.211267471313477" hidden="0" customWidth="1"/>
    <x:col min="11" max="11" width="13" hidden="0" customWidth="1"/>
    <x:col min="19" max="19" width="11.211267471313477" hidden="0" customWidth="1"/>
    <x:col min="27" max="27" width="11.211267471313477" hidden="0" customWidth="1"/>
    <x:col min="28" max="28" width="11.211267471313477" hidden="0" customWidth="1"/>
    <x:col min="36" max="36" width="11.211267471313477" hidden="0" customWidth="1"/>
    <x:col min="44" max="44" width="11.211267471313477" hidden="0" customWidth="1"/>
    <x:col min="4" max="4" width="13" hidden="0" customWidth="1"/>
    <x:col min="12" max="12" width="13" hidden="0" customWidth="1"/>
    <x:col min="20" max="20" width="11.211267471313477" hidden="0" customWidth="1"/>
    <x:col min="29" max="29" width="11.211267471313477" hidden="0" customWidth="1"/>
    <x:col min="37" max="37" width="11.211267471313477" hidden="0" customWidth="1"/>
    <x:col min="45" max="45" width="11.211267471313477" hidden="0" customWidth="1"/>
    <x:col min="5" max="5" width="13" hidden="0" customWidth="1"/>
    <x:col min="13" max="13" width="13" hidden="0" customWidth="1"/>
    <x:col min="21" max="21" width="11.211267471313477" hidden="0" customWidth="1"/>
    <x:col min="30" max="30" width="30.732162475585938" hidden="0" customWidth="1"/>
    <x:col min="38" max="38" width="11.211267471313477" hidden="0" customWidth="1"/>
    <x:col min="46" max="46" width="11.211267471313477" hidden="0" customWidth="1"/>
    <x:col min="6" max="6" width="13" hidden="0" customWidth="1"/>
    <x:col min="14" max="14" width="13" hidden="0" customWidth="1"/>
    <x:col min="22" max="22" width="11.211267471313477" hidden="0" customWidth="1"/>
    <x:col min="39" max="39" width="11.211267471313477" hidden="0" customWidth="1"/>
    <x:col min="40" max="40" width="11.211267471313477" hidden="0" customWidth="1"/>
    <x:col min="47" max="47" width="11.211267471313477" hidden="0" customWidth="1"/>
    <x:col min="7" max="7" width="13" hidden="0" customWidth="1"/>
    <x:col min="23" max="23" width="11.211267471313477" hidden="0" customWidth="1"/>
    <x:col min="31" max="31" width="11.211267471313477" hidden="0" customWidth="1"/>
    <x:col min="32" max="32" width="11.211267471313477" hidden="0" customWidth="1"/>
    <x:col min="48" max="48" width="11.211267471313477" hidden="0" customWidth="1"/>
    <x:col min="8" max="8" width="13" hidden="0" customWidth="1"/>
    <x:col min="16" max="16" width="25.63380241394043" hidden="0" customWidth="1"/>
    <x:col min="24" max="24" width="11.211267471313477" hidden="0" customWidth="1"/>
    <x:col min="3" max="3" width="13" hidden="0" customWidth="1"/>
  </x:cols>
  <x:sheetData>
    <x:row r="1" ht="23.49772834777832" customHeight="1">
      <x:c r="A1"/>
      <x:c r="B1" s="539" t="str">
        <x:v>DOANH THU VÀ P&amp;L INViBROWSER</x:v>
      </x:c>
      <x:c r="C1" s="539"/>
      <x:c r="D1" s="539"/>
      <x:c r="E1" s="539"/>
      <x:c r="F1" s="539"/>
      <x:c r="G1" s="539"/>
      <x:c r="H1" s="539"/>
      <x:c r="I1" s="539"/>
      <x:c r="J1" s="539"/>
      <x:c r="K1" s="539"/>
      <x:c r="L1" s="539"/>
      <x:c r="M1" s="539"/>
      <x:c r="N1" s="539"/>
      <x:c r="O1"/>
      <x:c r="P1"/>
      <x:c r="Q1"/>
      <x:c r="R1"/>
      <x:c r="S1"/>
      <x:c r="T1"/>
      <x:c r="U1"/>
      <x:c r="V1"/>
      <x:c r="W1"/>
      <x:c r="X1"/>
      <x:c r="Y1"/>
      <x:c r="Z1"/>
      <x:c r="AA1"/>
      <x:c r="AB1"/>
      <x:c r="AC1"/>
      <x:c r="AD1"/>
      <x:c r="AE1"/>
      <x:c r="AF1"/>
      <x:c r="AG1"/>
      <x:c r="AH1"/>
      <x:c r="AI1"/>
      <x:c r="AJ1"/>
      <x:c r="AK1"/>
      <x:c r="AL1"/>
      <x:c r="AM1"/>
      <x:c r="AN1"/>
      <x:c r="AO1"/>
      <x:c r="AP1"/>
      <x:c r="AQ1" s="247"/>
      <x:c r="AR1" s="247"/>
      <x:c r="AS1" s="247"/>
      <x:c r="AT1" s="247"/>
      <x:c r="AU1" s="247"/>
      <x:c r="AV1" s="247"/>
      <x:c r="AW1" s="247"/>
    </x:row>
    <x:row r="2" ht="23.49772834777832" customHeight="1">
      <x:c r="A2"/>
      <x:c r="B2"/>
      <x:c r="C2"/>
      <x:c r="D2"/>
      <x:c r="E2"/>
      <x:c r="F2"/>
      <x:c r="G2"/>
      <x:c r="H2"/>
      <x:c r="I2"/>
      <x:c r="J2"/>
      <x:c r="K2"/>
      <x:c r="L2"/>
      <x:c r="M2"/>
      <x:c r="N2"/>
      <x:c r="O2"/>
      <x:c r="P2"/>
      <x:c r="Q2"/>
      <x:c r="R2"/>
      <x:c r="S2"/>
      <x:c r="T2"/>
      <x:c r="U2"/>
      <x:c r="V2"/>
      <x:c r="W2"/>
      <x:c r="X2"/>
      <x:c r="Y2"/>
      <x:c r="Z2"/>
      <x:c r="AA2"/>
      <x:c r="AB2"/>
      <x:c r="AC2"/>
      <x:c r="AD2"/>
      <x:c r="AE2"/>
      <x:c r="AF2"/>
      <x:c r="AG2"/>
      <x:c r="AH2"/>
      <x:c r="AI2"/>
      <x:c r="AJ2"/>
      <x:c r="AK2"/>
      <x:c r="AL2"/>
      <x:c r="AM2"/>
      <x:c r="AN2"/>
      <x:c r="AO2"/>
      <x:c r="AP2"/>
      <x:c r="AQ2" s="251"/>
      <x:c r="AR2" s="251"/>
      <x:c r="AS2" s="251"/>
      <x:c r="AT2" s="251"/>
      <x:c r="AU2" s="251"/>
      <x:c r="AV2" s="251"/>
      <x:c r="AW2" s="251"/>
    </x:row>
    <x:row r="3">
      <x:c r="A3"/>
      <x:c r="B3" s="531" t="str">
        <x:v>Hạng mục</x:v>
      </x:c>
      <x:c r="C3" s="531" t="str">
        <x:v>T10/2026</x:v>
      </x:c>
      <x:c r="D3" s="531" t="str">
        <x:v>T11/2026</x:v>
      </x:c>
      <x:c r="E3" s="531" t="str">
        <x:v>T12/2026</x:v>
      </x:c>
      <x:c r="F3" s="531" t="str">
        <x:v>T01/2027</x:v>
      </x:c>
      <x:c r="G3" s="531" t="str">
        <x:v>T02/2027</x:v>
      </x:c>
      <x:c r="H3" s="531" t="str">
        <x:v>T03/2027</x:v>
      </x:c>
      <x:c r="I3" s="531" t="str">
        <x:v>T04/2027</x:v>
      </x:c>
      <x:c r="J3" s="531" t="str">
        <x:v>T05/2027</x:v>
      </x:c>
      <x:c r="K3" s="531" t="str">
        <x:v>T06/2027</x:v>
      </x:c>
      <x:c r="L3" s="531" t="str">
        <x:v>T07/2027</x:v>
      </x:c>
      <x:c r="M3" s="531" t="str">
        <x:v>T08/2027</x:v>
      </x:c>
      <x:c r="N3" s="531" t="str">
        <x:v>T09/2027</x:v>
      </x:c>
      <x:c r="O3"/>
      <x:c r="P3"/>
      <x:c r="Q3"/>
      <x:c r="R3"/>
      <x:c r="S3"/>
      <x:c r="T3"/>
      <x:c r="U3"/>
      <x:c r="V3"/>
      <x:c r="W3"/>
      <x:c r="X3"/>
      <x:c r="Y3"/>
      <x:c r="Z3"/>
      <x:c r="AA3"/>
      <x:c r="AB3"/>
      <x:c r="AC3"/>
      <x:c r="AD3"/>
      <x:c r="AE3"/>
      <x:c r="AF3"/>
      <x:c r="AG3"/>
      <x:c r="AH3"/>
      <x:c r="AI3"/>
      <x:c r="AJ3"/>
      <x:c r="AK3"/>
      <x:c r="AL3"/>
      <x:c r="AM3"/>
      <x:c r="AN3"/>
      <x:c r="AO3"/>
      <x:c r="AP3"/>
      <x:c r="AQ3" s="256"/>
      <x:c r="AR3" s="256"/>
      <x:c r="AS3" s="256"/>
      <x:c r="AT3" s="256"/>
      <x:c r="AU3" s="256"/>
      <x:c r="AV3" s="256"/>
      <x:c r="AW3" s="256"/>
    </x:row>
    <x:row r="4">
      <x:c r="A4"/>
      <x:c r="B4" s="512" t="str">
        <x:v>Doanh thu</x:v>
      </x:c>
      <x:c r="C4" s="512"/>
      <x:c r="D4" s="512"/>
      <x:c r="E4" s="512"/>
      <x:c r="F4" s="512"/>
      <x:c r="G4" s="512"/>
      <x:c r="H4" s="512"/>
      <x:c r="I4" s="512"/>
      <x:c r="J4" s="512"/>
      <x:c r="K4" s="512"/>
      <x:c r="L4" s="512"/>
      <x:c r="M4" s="512"/>
      <x:c r="N4" s="512"/>
      <x:c r="O4"/>
      <x:c r="P4"/>
      <x:c r="Q4"/>
      <x:c r="R4"/>
      <x:c r="S4"/>
      <x:c r="T4"/>
      <x:c r="U4"/>
      <x:c r="V4"/>
      <x:c r="W4"/>
      <x:c r="X4"/>
      <x:c r="Y4"/>
      <x:c r="Z4"/>
      <x:c r="AA4"/>
      <x:c r="AB4"/>
      <x:c r="AC4"/>
      <x:c r="AD4"/>
      <x:c r="AE4"/>
      <x:c r="AF4"/>
      <x:c r="AG4"/>
      <x:c r="AH4"/>
      <x:c r="AI4"/>
      <x:c r="AJ4"/>
      <x:c r="AK4"/>
      <x:c r="AL4"/>
      <x:c r="AM4"/>
      <x:c r="AN4"/>
      <x:c r="AO4"/>
      <x:c r="AP4"/>
      <x:c r="AQ4" s="260"/>
      <x:c r="AR4" s="260"/>
      <x:c r="AS4" s="260"/>
      <x:c r="AT4" s="260"/>
      <x:c r="AU4" s="260"/>
      <x:c r="AV4" s="260"/>
      <x:c r="AW4" s="260"/>
    </x:row>
    <x:row r="5" ht="16.071428298950195" customHeight="1">
      <x:c r="A5"/>
      <x:c r="B5" s="512" t="str">
        <x:v>Marketing</x:v>
      </x:c>
      <x:c r="C5" s="512"/>
      <x:c r="D5" s="512"/>
      <x:c r="E5" s="512"/>
      <x:c r="F5" s="512"/>
      <x:c r="G5" s="512"/>
      <x:c r="H5" s="512"/>
      <x:c r="I5" s="512"/>
      <x:c r="J5" s="512"/>
      <x:c r="K5" s="512"/>
      <x:c r="L5" s="512"/>
      <x:c r="M5" s="512"/>
      <x:c r="N5" s="512"/>
      <x:c r="O5"/>
      <x:c r="P5"/>
      <x:c r="Q5"/>
      <x:c r="R5"/>
      <x:c r="S5"/>
      <x:c r="T5"/>
      <x:c r="U5"/>
      <x:c r="V5"/>
      <x:c r="W5"/>
      <x:c r="X5"/>
      <x:c r="Y5"/>
      <x:c r="Z5"/>
      <x:c r="AA5"/>
      <x:c r="AB5"/>
      <x:c r="AC5"/>
      <x:c r="AD5"/>
      <x:c r="AE5"/>
      <x:c r="AF5"/>
      <x:c r="AG5"/>
      <x:c r="AH5"/>
      <x:c r="AI5"/>
      <x:c r="AJ5"/>
      <x:c r="AK5"/>
      <x:c r="AL5"/>
      <x:c r="AM5"/>
      <x:c r="AN5"/>
      <x:c r="AO5"/>
      <x:c r="AP5"/>
      <x:c r="AQ5" s="256"/>
      <x:c r="AR5" s="256"/>
      <x:c r="AS5" s="256"/>
      <x:c r="AT5" s="256"/>
      <x:c r="AU5" s="256"/>
      <x:c r="AV5" s="256"/>
      <x:c r="AW5" s="256"/>
    </x:row>
    <x:row r="6">
      <x:c r="A6"/>
      <x:c r="B6" s="512" t="str">
        <x:v>Payroll</x:v>
      </x:c>
      <x:c r="C6" s="512"/>
      <x:c r="D6" s="512"/>
      <x:c r="E6" s="512"/>
      <x:c r="F6" s="512"/>
      <x:c r="G6" s="512"/>
      <x:c r="H6" s="512"/>
      <x:c r="I6" s="512"/>
      <x:c r="J6" s="512"/>
      <x:c r="K6" s="512"/>
      <x:c r="L6" s="512"/>
      <x:c r="M6" s="512"/>
      <x:c r="N6" s="512"/>
      <x:c r="P6"/>
      <x:c r="Q6"/>
      <x:c r="R6"/>
      <x:c r="S6"/>
      <x:c r="T6"/>
      <x:c r="U6"/>
      <x:c r="V6"/>
      <x:c r="W6"/>
      <x:c r="X6"/>
      <x:c r="Y6"/>
      <x:c r="Z6"/>
      <x:c r="AA6"/>
      <x:c r="AB6"/>
      <x:c r="AC6"/>
      <x:c r="AD6"/>
      <x:c r="AE6"/>
      <x:c r="AF6"/>
      <x:c r="AG6"/>
      <x:c r="AH6"/>
      <x:c r="AI6"/>
      <x:c r="AJ6"/>
      <x:c r="AK6"/>
      <x:c r="AL6"/>
      <x:c r="AM6"/>
      <x:c r="AN6"/>
      <x:c r="AO6"/>
      <x:c r="AP6"/>
      <x:c r="AQ6" s="270"/>
      <x:c r="AR6" s="270"/>
      <x:c r="AS6" s="270"/>
      <x:c r="AT6" s="270"/>
      <x:c r="AU6" s="270"/>
      <x:c r="AV6" s="270"/>
      <x:c r="AW6" s="270"/>
    </x:row>
    <x:row r="7">
      <x:c r="A7"/>
      <x:c r="B7" s="512" t="str">
        <x:v>Infrastructure / tools</x:v>
      </x:c>
      <x:c r="C7" s="512"/>
      <x:c r="D7" s="512"/>
      <x:c r="E7" s="512"/>
      <x:c r="F7" s="512"/>
      <x:c r="G7" s="512"/>
      <x:c r="H7" s="512"/>
      <x:c r="I7" s="512"/>
      <x:c r="J7" s="512"/>
      <x:c r="K7" s="512"/>
      <x:c r="L7" s="512"/>
      <x:c r="M7" s="512"/>
      <x:c r="N7" s="512"/>
      <x:c r="P7"/>
      <x:c r="Q7"/>
      <x:c r="R7"/>
      <x:c r="S7"/>
      <x:c r="T7"/>
      <x:c r="U7"/>
      <x:c r="V7"/>
      <x:c r="W7"/>
      <x:c r="X7"/>
      <x:c r="Y7"/>
      <x:c r="Z7"/>
      <x:c r="AA7"/>
      <x:c r="AB7"/>
      <x:c r="AC7"/>
      <x:c r="AD7"/>
      <x:c r="AE7"/>
      <x:c r="AF7"/>
      <x:c r="AG7"/>
      <x:c r="AH7"/>
      <x:c r="AI7"/>
      <x:c r="AJ7"/>
      <x:c r="AK7"/>
      <x:c r="AL7"/>
      <x:c r="AM7"/>
      <x:c r="AN7"/>
      <x:c r="AO7"/>
      <x:c r="AP7"/>
      <x:c r="AQ7" s="274"/>
      <x:c r="AR7" s="274"/>
      <x:c r="AS7" s="274"/>
      <x:c r="AT7" s="274"/>
      <x:c r="AU7" s="274"/>
      <x:c r="AV7" s="274"/>
      <x:c r="AW7" s="274"/>
    </x:row>
    <x:row r="8">
      <x:c r="A8"/>
      <x:c r="B8" s="512" t="str">
        <x:v>Chi phí khác</x:v>
      </x:c>
      <x:c r="C8" s="512"/>
      <x:c r="D8" s="512"/>
      <x:c r="E8" s="512"/>
      <x:c r="F8" s="512"/>
      <x:c r="G8" s="512"/>
      <x:c r="H8" s="512"/>
      <x:c r="I8" s="512"/>
      <x:c r="J8" s="512"/>
      <x:c r="K8" s="512"/>
      <x:c r="L8" s="512"/>
      <x:c r="M8" s="512"/>
      <x:c r="N8" s="512"/>
      <x:c r="P8"/>
      <x:c r="Q8"/>
      <x:c r="R8"/>
      <x:c r="S8"/>
      <x:c r="T8"/>
      <x:c r="U8"/>
      <x:c r="V8"/>
      <x:c r="W8"/>
      <x:c r="X8"/>
      <x:c r="Y8"/>
      <x:c r="Z8"/>
      <x:c r="AA8"/>
      <x:c r="AB8"/>
      <x:c r="AC8"/>
      <x:c r="AD8"/>
      <x:c r="AE8"/>
      <x:c r="AF8"/>
      <x:c r="AG8"/>
      <x:c r="AH8"/>
      <x:c r="AI8"/>
      <x:c r="AJ8"/>
      <x:c r="AK8"/>
      <x:c r="AL8"/>
      <x:c r="AM8"/>
      <x:c r="AN8"/>
      <x:c r="AO8"/>
      <x:c r="AP8"/>
      <x:c r="AQ8" s="277"/>
      <x:c r="AR8" s="277"/>
      <x:c r="AS8" s="277"/>
      <x:c r="AT8" s="277"/>
      <x:c r="AU8" s="277"/>
      <x:c r="AV8" s="277"/>
      <x:c r="AW8" s="277"/>
    </x:row>
    <x:row r="9">
      <x:c r="A9"/>
      <x:c r="B9" s="512" t="str">
        <x:v>Lợi nhuận vận hành</x:v>
      </x:c>
      <x:c r="C9" s="512"/>
      <x:c r="D9" s="512"/>
      <x:c r="E9" s="512"/>
      <x:c r="F9" s="512"/>
      <x:c r="G9" s="512"/>
      <x:c r="H9" s="512"/>
      <x:c r="I9" s="512"/>
      <x:c r="J9" s="512"/>
      <x:c r="K9" s="512"/>
      <x:c r="L9" s="512"/>
      <x:c r="M9" s="512"/>
      <x:c r="N9" s="512"/>
      <x:c r="P9"/>
      <x:c r="Q9"/>
      <x:c r="R9"/>
      <x:c r="S9"/>
      <x:c r="T9"/>
      <x:c r="U9"/>
      <x:c r="V9"/>
      <x:c r="W9"/>
      <x:c r="X9"/>
      <x:c r="Y9"/>
      <x:c r="Z9"/>
      <x:c r="AA9"/>
      <x:c r="AB9"/>
      <x:c r="AC9"/>
      <x:c r="AD9"/>
      <x:c r="AE9"/>
      <x:c r="AF9"/>
      <x:c r="AG9"/>
      <x:c r="AH9"/>
      <x:c r="AI9"/>
      <x:c r="AJ9"/>
      <x:c r="AK9"/>
      <x:c r="AL9"/>
      <x:c r="AM9"/>
      <x:c r="AN9"/>
      <x:c r="AO9"/>
      <x:c r="AP9"/>
      <x:c r="AQ9" s="282"/>
      <x:c r="AR9" s="282"/>
      <x:c r="AS9" s="282"/>
      <x:c r="AT9" s="282"/>
      <x:c r="AU9" s="282"/>
      <x:c r="AV9" s="282"/>
      <x:c r="AW9" s="282"/>
    </x:row>
    <x:row r="10">
      <x:c r="A10"/>
      <x:c r="B10" s="512" t="str">
        <x:v>Biên lợi nhuận</x:v>
      </x:c>
      <x:c r="C10" s="512"/>
      <x:c r="D10" s="512"/>
      <x:c r="E10" s="512"/>
      <x:c r="F10" s="512"/>
      <x:c r="G10" s="512"/>
      <x:c r="H10" s="512"/>
      <x:c r="I10" s="512"/>
      <x:c r="J10" s="512"/>
      <x:c r="K10" s="512"/>
      <x:c r="L10" s="512"/>
      <x:c r="M10" s="512"/>
      <x:c r="N10" s="512"/>
      <x:c r="P10"/>
      <x:c r="Q10"/>
      <x:c r="R10"/>
      <x:c r="S10"/>
      <x:c r="T10"/>
      <x:c r="U10"/>
      <x:c r="V10"/>
      <x:c r="W10"/>
      <x:c r="X10"/>
      <x:c r="Y10"/>
      <x:c r="Z10"/>
      <x:c r="AA10"/>
      <x:c r="AB10"/>
      <x:c r="AC10"/>
      <x:c r="AD10"/>
      <x:c r="AE10"/>
      <x:c r="AF10"/>
      <x:c r="AG10"/>
      <x:c r="AH10"/>
      <x:c r="AI10"/>
      <x:c r="AJ10"/>
      <x:c r="AK10"/>
      <x:c r="AL10"/>
      <x:c r="AM10"/>
      <x:c r="AN10"/>
      <x:c r="AO10"/>
      <x:c r="AP10"/>
      <x:c r="AQ10" s="282"/>
      <x:c r="AR10" s="282"/>
      <x:c r="AS10" s="282"/>
      <x:c r="AT10" s="282"/>
      <x:c r="AU10" s="282"/>
      <x:c r="AV10" s="282"/>
      <x:c r="AW10" s="282"/>
    </x:row>
    <x:row r="11">
      <x:c r="A11"/>
      <x:c r="B11"/>
      <x:c r="C11"/>
      <x:c r="D11"/>
      <x:c r="E11"/>
      <x:c r="F11"/>
      <x:c r="G11"/>
      <x:c r="H11"/>
      <x:c r="I11"/>
      <x:c r="J11"/>
      <x:c r="K11"/>
      <x:c r="L11"/>
      <x:c r="M11"/>
      <x:c r="N11"/>
      <x:c r="P11"/>
      <x:c r="Q11"/>
      <x:c r="R11"/>
      <x:c r="S11"/>
      <x:c r="T11"/>
      <x:c r="U11"/>
      <x:c r="V11"/>
      <x:c r="W11"/>
      <x:c r="X11"/>
      <x:c r="Y11"/>
      <x:c r="Z11"/>
      <x:c r="AA11"/>
      <x:c r="AB11"/>
      <x:c r="AC11"/>
      <x:c r="AD11"/>
      <x:c r="AE11"/>
      <x:c r="AF11"/>
      <x:c r="AG11"/>
      <x:c r="AH11"/>
      <x:c r="AI11"/>
      <x:c r="AJ11"/>
      <x:c r="AK11"/>
      <x:c r="AL11"/>
      <x:c r="AM11"/>
      <x:c r="AN11"/>
      <x:c r="AO11"/>
      <x:c r="AP11"/>
      <x:c r="AQ11" s="291"/>
      <x:c r="AR11" s="291"/>
      <x:c r="AS11" s="291"/>
      <x:c r="AT11" s="291"/>
      <x:c r="AU11" s="291"/>
      <x:c r="AV11" s="291"/>
      <x:c r="AW11" s="291"/>
    </x:row>
    <x:row r="12">
      <x:c r="A12"/>
      <x:c r="B12"/>
      <x:c r="C12"/>
      <x:c r="D12"/>
      <x:c r="E12"/>
      <x:c r="F12"/>
      <x:c r="G12"/>
      <x:c r="H12"/>
      <x:c r="I12"/>
      <x:c r="J12"/>
      <x:c r="K12"/>
      <x:c r="L12"/>
      <x:c r="M12"/>
      <x:c r="N12"/>
      <x:c r="P12"/>
      <x:c r="Q12"/>
      <x:c r="R12"/>
      <x:c r="S12"/>
      <x:c r="T12"/>
      <x:c r="U12"/>
      <x:c r="V12"/>
      <x:c r="W12"/>
      <x:c r="X12"/>
      <x:c r="Y12"/>
      <x:c r="Z12"/>
      <x:c r="AA12"/>
      <x:c r="AB12"/>
      <x:c r="AC12"/>
      <x:c r="AD12"/>
      <x:c r="AE12"/>
      <x:c r="AF12"/>
      <x:c r="AG12"/>
      <x:c r="AH12"/>
      <x:c r="AI12"/>
      <x:c r="AJ12"/>
      <x:c r="AK12"/>
      <x:c r="AL12"/>
      <x:c r="AM12"/>
      <x:c r="AN12"/>
      <x:c r="AO12"/>
      <x:c r="AP12"/>
      <x:c r="AQ12" s="274"/>
      <x:c r="AR12" s="274"/>
      <x:c r="AS12" s="274"/>
      <x:c r="AT12" s="274"/>
      <x:c r="AU12" s="274"/>
      <x:c r="AV12" s="274"/>
      <x:c r="AW12" s="274"/>
    </x:row>
    <x:row r="13">
      <x:c r="A13"/>
      <x:c r="B13"/>
      <x:c r="C13"/>
      <x:c r="D13"/>
      <x:c r="E13"/>
      <x:c r="F13"/>
      <x:c r="G13"/>
      <x:c r="H13"/>
      <x:c r="I13"/>
      <x:c r="J13"/>
      <x:c r="K13"/>
      <x:c r="L13"/>
      <x:c r="M13"/>
      <x:c r="N13"/>
      <x:c r="P13"/>
      <x:c r="Q13"/>
      <x:c r="R13"/>
      <x:c r="S13"/>
      <x:c r="T13"/>
      <x:c r="U13"/>
      <x:c r="V13"/>
      <x:c r="W13"/>
      <x:c r="X13"/>
      <x:c r="Y13"/>
      <x:c r="Z13"/>
      <x:c r="AA13"/>
      <x:c r="AB13"/>
      <x:c r="AC13"/>
      <x:c r="AD13"/>
      <x:c r="AE13"/>
      <x:c r="AF13"/>
      <x:c r="AG13"/>
      <x:c r="AH13"/>
      <x:c r="AI13"/>
      <x:c r="AJ13"/>
      <x:c r="AK13"/>
      <x:c r="AL13"/>
      <x:c r="AM13"/>
      <x:c r="AN13"/>
      <x:c r="AO13"/>
      <x:c r="AP13"/>
      <x:c r="AQ13" s="277"/>
      <x:c r="AR13" s="277"/>
      <x:c r="AS13" s="277"/>
      <x:c r="AT13" s="277"/>
      <x:c r="AU13" s="277"/>
      <x:c r="AV13" s="277"/>
      <x:c r="AW13" s="277"/>
    </x:row>
    <x:row r="14">
      <x:c r="A14"/>
      <x:c r="B14"/>
      <x:c r="C14"/>
      <x:c r="D14"/>
      <x:c r="E14"/>
      <x:c r="F14"/>
      <x:c r="G14"/>
      <x:c r="H14"/>
      <x:c r="I14"/>
      <x:c r="J14"/>
      <x:c r="K14"/>
      <x:c r="L14"/>
      <x:c r="M14"/>
      <x:c r="N14"/>
      <x:c r="P14"/>
      <x:c r="Q14"/>
      <x:c r="R14"/>
      <x:c r="S14"/>
      <x:c r="T14"/>
      <x:c r="U14"/>
      <x:c r="V14"/>
      <x:c r="W14"/>
      <x:c r="X14"/>
      <x:c r="Y14"/>
      <x:c r="Z14"/>
      <x:c r="AA14"/>
      <x:c r="AB14"/>
      <x:c r="AC14"/>
      <x:c r="AD14"/>
      <x:c r="AE14"/>
      <x:c r="AF14"/>
      <x:c r="AG14"/>
      <x:c r="AH14"/>
      <x:c r="AI14"/>
      <x:c r="AJ14"/>
      <x:c r="AK14"/>
      <x:c r="AL14"/>
      <x:c r="AM14"/>
      <x:c r="AN14"/>
      <x:c r="AO14"/>
      <x:c r="AP14"/>
      <x:c r="AQ14" s="282"/>
      <x:c r="AR14" s="282"/>
      <x:c r="AS14" s="282"/>
      <x:c r="AT14" s="282"/>
      <x:c r="AU14" s="282"/>
      <x:c r="AV14" s="282"/>
      <x:c r="AW14" s="282"/>
    </x:row>
    <x:row r="15">
      <x:c r="A15"/>
      <x:c r="B15"/>
      <x:c r="C15"/>
      <x:c r="D15"/>
      <x:c r="E15"/>
      <x:c r="F15"/>
      <x:c r="G15"/>
      <x:c r="H15"/>
      <x:c r="I15"/>
      <x:c r="J15"/>
      <x:c r="K15"/>
      <x:c r="L15"/>
      <x:c r="M15"/>
      <x:c r="N15"/>
      <x:c r="P15"/>
      <x:c r="Q15"/>
      <x:c r="R15"/>
      <x:c r="S15"/>
      <x:c r="T15"/>
      <x:c r="U15"/>
      <x:c r="V15"/>
      <x:c r="W15"/>
      <x:c r="X15"/>
      <x:c r="Y15"/>
      <x:c r="Z15"/>
      <x:c r="AA15"/>
      <x:c r="AB15"/>
      <x:c r="AC15"/>
      <x:c r="AD15"/>
      <x:c r="AE15"/>
      <x:c r="AF15"/>
      <x:c r="AG15"/>
      <x:c r="AH15"/>
      <x:c r="AI15"/>
      <x:c r="AJ15"/>
      <x:c r="AK15"/>
      <x:c r="AL15"/>
      <x:c r="AM15"/>
      <x:c r="AN15"/>
      <x:c r="AO15"/>
      <x:c r="AP15"/>
      <x:c r="AQ15" s="277"/>
      <x:c r="AR15" s="277"/>
      <x:c r="AS15" s="277"/>
      <x:c r="AT15" s="277"/>
      <x:c r="AU15" s="277"/>
      <x:c r="AV15" s="277"/>
      <x:c r="AW15" s="277"/>
    </x:row>
    <x:row r="16" ht="16.071428298950195" customHeight="1">
      <x:c r="A16"/>
      <x:c r="B16"/>
      <x:c r="C16"/>
      <x:c r="D16"/>
      <x:c r="E16"/>
      <x:c r="F16"/>
      <x:c r="G16"/>
      <x:c r="H16"/>
      <x:c r="I16"/>
      <x:c r="J16"/>
      <x:c r="K16"/>
      <x:c r="L16"/>
      <x:c r="M16"/>
      <x:c r="N16"/>
      <x:c r="P16"/>
      <x:c r="Q16"/>
      <x:c r="R16"/>
      <x:c r="S16"/>
      <x:c r="T16"/>
      <x:c r="U16"/>
      <x:c r="V16"/>
      <x:c r="W16"/>
      <x:c r="X16"/>
      <x:c r="Y16"/>
      <x:c r="Z16"/>
      <x:c r="AA16"/>
      <x:c r="AB16"/>
      <x:c r="AC16"/>
      <x:c r="AD16"/>
      <x:c r="AE16"/>
      <x:c r="AF16"/>
      <x:c r="AG16"/>
      <x:c r="AH16"/>
      <x:c r="AI16"/>
      <x:c r="AJ16"/>
      <x:c r="AK16"/>
      <x:c r="AL16"/>
      <x:c r="AM16"/>
      <x:c r="AN16"/>
      <x:c r="AO16"/>
      <x:c r="AP16"/>
      <x:c r="AQ16" s="295"/>
      <x:c r="AR16" s="295"/>
      <x:c r="AS16" s="295"/>
      <x:c r="AT16" s="295"/>
      <x:c r="AU16" s="295"/>
      <x:c r="AV16" s="295"/>
      <x:c r="AW16" s="295"/>
    </x:row>
    <x:row r="17" ht="16.071428298950195" customHeight="1">
      <x:c r="A17"/>
      <x:c r="B17"/>
      <x:c r="C17"/>
      <x:c r="D17"/>
      <x:c r="E17"/>
      <x:c r="F17"/>
      <x:c r="G17"/>
      <x:c r="H17"/>
      <x:c r="I17"/>
      <x:c r="J17"/>
      <x:c r="K17"/>
      <x:c r="L17"/>
      <x:c r="M17"/>
      <x:c r="N17"/>
      <x:c r="P17"/>
      <x:c r="Q17"/>
      <x:c r="R17"/>
      <x:c r="S17"/>
      <x:c r="T17"/>
      <x:c r="U17"/>
      <x:c r="V17"/>
      <x:c r="W17"/>
      <x:c r="X17"/>
      <x:c r="Y17"/>
      <x:c r="Z17"/>
      <x:c r="AA17"/>
      <x:c r="AB17"/>
      <x:c r="AC17"/>
      <x:c r="AD17"/>
      <x:c r="AE17"/>
      <x:c r="AF17"/>
      <x:c r="AG17"/>
      <x:c r="AH17"/>
      <x:c r="AI17"/>
      <x:c r="AJ17"/>
      <x:c r="AK17"/>
      <x:c r="AL17"/>
      <x:c r="AM17"/>
      <x:c r="AN17"/>
      <x:c r="AO17"/>
      <x:c r="AP17"/>
      <x:c r="AQ17" s="277"/>
      <x:c r="AR17" s="277"/>
      <x:c r="AS17" s="277"/>
      <x:c r="AT17" s="277"/>
      <x:c r="AU17" s="277"/>
      <x:c r="AV17" s="277"/>
      <x:c r="AW17" s="277"/>
    </x:row>
    <x:row r="18">
      <x:c r="A18"/>
      <x:c r="B18"/>
      <x:c r="C18"/>
      <x:c r="D18"/>
      <x:c r="E18"/>
      <x:c r="F18"/>
      <x:c r="G18"/>
      <x:c r="H18"/>
      <x:c r="I18"/>
      <x:c r="J18"/>
      <x:c r="K18"/>
      <x:c r="L18"/>
      <x:c r="M18"/>
      <x:c r="N18"/>
      <x:c r="P18"/>
      <x:c r="Q18"/>
      <x:c r="R18"/>
      <x:c r="S18"/>
      <x:c r="T18"/>
      <x:c r="U18"/>
      <x:c r="V18"/>
      <x:c r="W18"/>
      <x:c r="X18"/>
      <x:c r="Y18"/>
      <x:c r="Z18"/>
      <x:c r="AA18"/>
      <x:c r="AB18"/>
      <x:c r="AC18"/>
      <x:c r="AD18"/>
      <x:c r="AE18"/>
      <x:c r="AF18"/>
      <x:c r="AG18"/>
      <x:c r="AH18"/>
      <x:c r="AI18"/>
      <x:c r="AJ18"/>
      <x:c r="AK18"/>
      <x:c r="AL18"/>
      <x:c r="AM18"/>
      <x:c r="AN18"/>
      <x:c r="AO18"/>
      <x:c r="AP18"/>
      <x:c r="AQ18" s="282"/>
      <x:c r="AR18" s="282"/>
      <x:c r="AS18" s="282"/>
      <x:c r="AT18" s="282"/>
      <x:c r="AU18" s="282"/>
      <x:c r="AV18" s="282"/>
      <x:c r="AW18" s="282"/>
    </x:row>
    <x:row r="19">
      <x:c r="A19"/>
      <x:c r="B19"/>
      <x:c r="C19"/>
      <x:c r="D19"/>
      <x:c r="E19"/>
      <x:c r="F19"/>
      <x:c r="G19"/>
      <x:c r="H19"/>
      <x:c r="I19"/>
      <x:c r="J19"/>
      <x:c r="K19"/>
      <x:c r="L19"/>
      <x:c r="M19"/>
      <x:c r="N19"/>
      <x:c r="P19"/>
      <x:c r="Q19"/>
      <x:c r="R19"/>
      <x:c r="S19"/>
      <x:c r="T19"/>
      <x:c r="U19"/>
      <x:c r="V19"/>
      <x:c r="W19"/>
      <x:c r="X19"/>
      <x:c r="Y19"/>
      <x:c r="Z19"/>
      <x:c r="AA19"/>
      <x:c r="AB19"/>
      <x:c r="AC19"/>
      <x:c r="AD19"/>
      <x:c r="AE19"/>
      <x:c r="AF19"/>
      <x:c r="AG19"/>
      <x:c r="AH19"/>
      <x:c r="AI19"/>
      <x:c r="AJ19"/>
      <x:c r="AK19"/>
      <x:c r="AL19"/>
      <x:c r="AM19"/>
      <x:c r="AN19"/>
      <x:c r="AO19"/>
      <x:c r="AP19"/>
      <x:c r="AQ19" s="277"/>
      <x:c r="AR19" s="277"/>
      <x:c r="AS19" s="277"/>
      <x:c r="AT19" s="277"/>
      <x:c r="AU19" s="277"/>
      <x:c r="AV19" s="277"/>
      <x:c r="AW19" s="277"/>
    </x:row>
    <x:row r="20">
      <x:c r="A20"/>
      <x:c r="B20"/>
      <x:c r="C20"/>
      <x:c r="D20"/>
      <x:c r="E20"/>
      <x:c r="F20"/>
      <x:c r="G20"/>
      <x:c r="H20"/>
      <x:c r="I20"/>
      <x:c r="J20"/>
      <x:c r="K20"/>
      <x:c r="L20"/>
      <x:c r="M20"/>
      <x:c r="N20"/>
      <x:c r="P20"/>
      <x:c r="Q20"/>
      <x:c r="R20"/>
      <x:c r="S20"/>
      <x:c r="T20"/>
      <x:c r="U20"/>
      <x:c r="V20"/>
      <x:c r="W20"/>
      <x:c r="X20"/>
      <x:c r="Y20"/>
      <x:c r="Z20"/>
      <x:c r="AA20"/>
      <x:c r="AB20"/>
      <x:c r="AC20"/>
      <x:c r="AD20"/>
      <x:c r="AE20"/>
      <x:c r="AF20"/>
      <x:c r="AG20"/>
      <x:c r="AH20"/>
      <x:c r="AI20"/>
      <x:c r="AJ20"/>
      <x:c r="AK20"/>
      <x:c r="AL20"/>
      <x:c r="AM20"/>
      <x:c r="AN20"/>
      <x:c r="AO20"/>
      <x:c r="AP20"/>
      <x:c r="AQ20" s="282"/>
      <x:c r="AR20" s="282"/>
      <x:c r="AS20" s="282"/>
      <x:c r="AT20" s="282"/>
      <x:c r="AU20" s="282"/>
      <x:c r="AV20" s="282"/>
      <x:c r="AW20" s="282"/>
    </x:row>
    <x:row r="21">
      <x:c r="A21"/>
      <x:c r="B21"/>
      <x:c r="C21"/>
      <x:c r="D21"/>
      <x:c r="E21"/>
      <x:c r="F21"/>
      <x:c r="G21"/>
      <x:c r="H21"/>
      <x:c r="I21"/>
      <x:c r="J21"/>
      <x:c r="K21"/>
      <x:c r="L21"/>
      <x:c r="M21"/>
      <x:c r="N21"/>
      <x:c r="P21"/>
      <x:c r="Q21"/>
      <x:c r="R21"/>
      <x:c r="S21"/>
      <x:c r="T21"/>
      <x:c r="U21"/>
      <x:c r="V21"/>
      <x:c r="W21"/>
      <x:c r="X21"/>
      <x:c r="Y21"/>
      <x:c r="Z21"/>
      <x:c r="AA21"/>
      <x:c r="AB21"/>
      <x:c r="AC21"/>
      <x:c r="AD21"/>
      <x:c r="AE21"/>
      <x:c r="AF21"/>
      <x:c r="AG21"/>
      <x:c r="AH21"/>
      <x:c r="AI21"/>
      <x:c r="AJ21"/>
      <x:c r="AK21"/>
      <x:c r="AL21"/>
      <x:c r="AM21"/>
      <x:c r="AN21"/>
      <x:c r="AO21"/>
      <x:c r="AP21"/>
      <x:c r="AQ21" s="277"/>
      <x:c r="AR21" s="277"/>
      <x:c r="AS21" s="277"/>
      <x:c r="AT21" s="277"/>
      <x:c r="AU21" s="277"/>
      <x:c r="AV21" s="277"/>
      <x:c r="AW21" s="277"/>
    </x:row>
    <x:row r="22">
      <x:c r="A22"/>
      <x:c r="B22"/>
      <x:c r="C22"/>
      <x:c r="D22"/>
      <x:c r="E22"/>
      <x:c r="F22"/>
      <x:c r="G22"/>
      <x:c r="H22"/>
      <x:c r="I22"/>
      <x:c r="J22"/>
      <x:c r="K22"/>
      <x:c r="L22"/>
      <x:c r="M22"/>
      <x:c r="N22"/>
      <x:c r="P22"/>
      <x:c r="Q22"/>
      <x:c r="R22"/>
      <x:c r="S22"/>
      <x:c r="T22"/>
      <x:c r="U22"/>
      <x:c r="V22"/>
      <x:c r="W22"/>
      <x:c r="X22"/>
      <x:c r="Y22"/>
      <x:c r="Z22"/>
      <x:c r="AA22"/>
      <x:c r="AB22"/>
      <x:c r="AC22"/>
      <x:c r="AD22"/>
      <x:c r="AE22"/>
      <x:c r="AF22"/>
      <x:c r="AG22"/>
      <x:c r="AH22"/>
      <x:c r="AI22"/>
      <x:c r="AJ22"/>
      <x:c r="AK22"/>
      <x:c r="AL22"/>
      <x:c r="AM22"/>
      <x:c r="AN22"/>
      <x:c r="AO22"/>
      <x:c r="AP22"/>
      <x:c r="AQ22" s="277"/>
      <x:c r="AR22" s="277"/>
      <x:c r="AS22" s="277"/>
      <x:c r="AT22" s="277"/>
      <x:c r="AU22" s="277"/>
      <x:c r="AV22" s="277"/>
      <x:c r="AW22" s="277"/>
    </x:row>
    <x:row r="23">
      <x:c r="A23"/>
      <x:c r="B23"/>
      <x:c r="C23"/>
      <x:c r="D23"/>
      <x:c r="E23"/>
      <x:c r="F23"/>
      <x:c r="G23"/>
      <x:c r="H23"/>
      <x:c r="I23"/>
      <x:c r="J23"/>
      <x:c r="K23"/>
      <x:c r="L23"/>
      <x:c r="M23"/>
      <x:c r="N23"/>
      <x:c r="P23"/>
      <x:c r="Q23"/>
      <x:c r="R23"/>
      <x:c r="S23"/>
      <x:c r="T23"/>
      <x:c r="U23"/>
      <x:c r="V23"/>
      <x:c r="W23"/>
      <x:c r="X23"/>
      <x:c r="Y23"/>
      <x:c r="Z23"/>
      <x:c r="AA23"/>
      <x:c r="AB23"/>
      <x:c r="AC23"/>
      <x:c r="AD23"/>
      <x:c r="AE23"/>
      <x:c r="AF23"/>
      <x:c r="AG23"/>
      <x:c r="AH23"/>
      <x:c r="AI23"/>
      <x:c r="AJ23"/>
      <x:c r="AK23"/>
      <x:c r="AL23"/>
      <x:c r="AM23"/>
      <x:c r="AN23"/>
      <x:c r="AO23"/>
      <x:c r="AP23"/>
      <x:c r="AQ23" s="277"/>
      <x:c r="AR23" s="277"/>
      <x:c r="AS23" s="277"/>
      <x:c r="AT23" s="277"/>
      <x:c r="AU23" s="277"/>
      <x:c r="AV23" s="277"/>
      <x:c r="AW23" s="277"/>
    </x:row>
    <x:row r="24">
      <x:c r="A24"/>
      <x:c r="B24"/>
      <x:c r="C24"/>
      <x:c r="D24"/>
      <x:c r="E24"/>
      <x:c r="F24"/>
      <x:c r="G24"/>
      <x:c r="H24"/>
      <x:c r="I24"/>
      <x:c r="J24"/>
      <x:c r="K24"/>
      <x:c r="L24"/>
      <x:c r="M24"/>
      <x:c r="N24"/>
      <x:c r="P24"/>
      <x:c r="Q24"/>
      <x:c r="R24"/>
      <x:c r="S24"/>
      <x:c r="T24"/>
      <x:c r="U24"/>
      <x:c r="V24"/>
      <x:c r="W24"/>
      <x:c r="X24"/>
      <x:c r="Y24"/>
      <x:c r="Z24"/>
      <x:c r="AA24"/>
      <x:c r="AB24"/>
      <x:c r="AC24"/>
      <x:c r="AD24"/>
      <x:c r="AE24"/>
      <x:c r="AF24"/>
      <x:c r="AG24"/>
      <x:c r="AH24"/>
      <x:c r="AI24"/>
      <x:c r="AJ24"/>
      <x:c r="AK24"/>
      <x:c r="AL24"/>
      <x:c r="AM24"/>
      <x:c r="AN24"/>
      <x:c r="AO24"/>
      <x:c r="AP24"/>
      <x:c r="AQ24" s="282"/>
      <x:c r="AR24" s="282"/>
      <x:c r="AS24" s="282"/>
      <x:c r="AT24" s="282"/>
      <x:c r="AU24" s="282"/>
      <x:c r="AV24" s="282"/>
      <x:c r="AW24" s="282"/>
    </x:row>
    <x:row r="25" ht="16.071428298950195" customHeight="1">
      <x:c r="A25"/>
      <x:c r="B25"/>
      <x:c r="C25"/>
      <x:c r="D25"/>
      <x:c r="E25"/>
      <x:c r="F25"/>
      <x:c r="G25"/>
      <x:c r="H25"/>
      <x:c r="I25"/>
      <x:c r="J25"/>
      <x:c r="K25"/>
      <x:c r="L25"/>
      <x:c r="M25"/>
      <x:c r="N25"/>
      <x:c r="O25"/>
      <x:c r="P25"/>
      <x:c r="Q25"/>
      <x:c r="R25"/>
      <x:c r="S25"/>
      <x:c r="T25"/>
      <x:c r="U25"/>
      <x:c r="V25"/>
      <x:c r="W25"/>
      <x:c r="X25"/>
      <x:c r="Y25"/>
      <x:c r="Z25"/>
      <x:c r="AA25"/>
      <x:c r="AB25"/>
      <x:c r="AC25"/>
      <x:c r="AD25"/>
      <x:c r="AE25"/>
      <x:c r="AF25"/>
      <x:c r="AG25"/>
      <x:c r="AH25"/>
      <x:c r="AI25"/>
      <x:c r="AJ25"/>
      <x:c r="AK25"/>
      <x:c r="AL25"/>
      <x:c r="AM25"/>
      <x:c r="AN25"/>
      <x:c r="AO25"/>
      <x:c r="AP25"/>
      <x:c r="AQ25" s="304"/>
      <x:c r="AR25" s="304"/>
      <x:c r="AS25" s="304"/>
      <x:c r="AT25" s="304"/>
      <x:c r="AU25" s="304"/>
      <x:c r="AV25" s="304"/>
      <x:c r="AW25" s="304"/>
    </x:row>
    <x:row r="26" ht="16.071428298950195" customHeight="1">
      <x:c r="A26"/>
      <x:c r="B26"/>
      <x:c r="C26"/>
      <x:c r="D26"/>
      <x:c r="E26"/>
      <x:c r="F26"/>
      <x:c r="G26"/>
      <x:c r="H26"/>
      <x:c r="I26"/>
      <x:c r="J26"/>
      <x:c r="K26"/>
      <x:c r="L26"/>
      <x:c r="M26"/>
      <x:c r="N26"/>
      <x:c r="O26"/>
      <x:c r="P26"/>
      <x:c r="Q26"/>
      <x:c r="R26"/>
      <x:c r="S26"/>
      <x:c r="T26"/>
      <x:c r="U26"/>
      <x:c r="V26"/>
      <x:c r="W26"/>
      <x:c r="X26"/>
      <x:c r="Y26"/>
      <x:c r="Z26"/>
      <x:c r="AA26"/>
      <x:c r="AB26"/>
      <x:c r="AC26"/>
      <x:c r="AD26"/>
      <x:c r="AE26"/>
      <x:c r="AF26"/>
      <x:c r="AG26"/>
      <x:c r="AH26"/>
      <x:c r="AI26"/>
      <x:c r="AJ26"/>
      <x:c r="AK26"/>
      <x:c r="AL26"/>
      <x:c r="AM26"/>
      <x:c r="AN26"/>
      <x:c r="AO26"/>
      <x:c r="AP26"/>
      <x:c r="AQ26" s="304"/>
      <x:c r="AR26" s="304"/>
      <x:c r="AS26" s="304"/>
      <x:c r="AT26" s="304"/>
      <x:c r="AU26" s="304"/>
      <x:c r="AV26" s="304"/>
      <x:c r="AW26" s="304"/>
    </x:row>
    <x:row r="27" ht="16.071428298950195" customHeight="1">
      <x:c r="A27"/>
      <x:c r="B27"/>
      <x:c r="C27"/>
      <x:c r="D27"/>
      <x:c r="E27"/>
      <x:c r="F27"/>
      <x:c r="G27"/>
      <x:c r="H27"/>
      <x:c r="I27"/>
      <x:c r="J27"/>
      <x:c r="K27"/>
      <x:c r="L27"/>
      <x:c r="M27"/>
      <x:c r="N27"/>
      <x:c r="O27"/>
      <x:c r="P27"/>
      <x:c r="Q27"/>
      <x:c r="R27"/>
      <x:c r="S27"/>
      <x:c r="T27"/>
      <x:c r="U27"/>
      <x:c r="V27"/>
      <x:c r="W27"/>
      <x:c r="X27"/>
      <x:c r="Y27"/>
      <x:c r="Z27"/>
      <x:c r="AA27"/>
      <x:c r="AB27"/>
      <x:c r="AC27"/>
      <x:c r="AD27"/>
      <x:c r="AE27"/>
      <x:c r="AF27"/>
      <x:c r="AG27"/>
      <x:c r="AH27"/>
      <x:c r="AI27"/>
      <x:c r="AJ27"/>
      <x:c r="AK27"/>
      <x:c r="AL27"/>
      <x:c r="AM27"/>
      <x:c r="AN27"/>
      <x:c r="AO27"/>
      <x:c r="AP27"/>
      <x:c r="AQ27" s="304"/>
      <x:c r="AR27" s="304"/>
      <x:c r="AS27" s="304"/>
      <x:c r="AT27" s="304"/>
      <x:c r="AU27" s="304"/>
      <x:c r="AV27" s="304"/>
      <x:c r="AW27" s="304"/>
    </x:row>
    <x:row r="28">
      <x:c r="A28"/>
      <x:c r="B28"/>
      <x:c r="C28"/>
      <x:c r="D28"/>
      <x:c r="E28"/>
      <x:c r="F28"/>
      <x:c r="G28"/>
      <x:c r="H28"/>
      <x:c r="I28"/>
      <x:c r="J28"/>
      <x:c r="K28"/>
      <x:c r="L28"/>
      <x:c r="M28"/>
      <x:c r="N28"/>
      <x:c r="P28"/>
      <x:c r="Q28"/>
      <x:c r="R28"/>
      <x:c r="S28"/>
      <x:c r="T28"/>
      <x:c r="U28"/>
      <x:c r="V28"/>
      <x:c r="W28"/>
      <x:c r="X28"/>
      <x:c r="Y28"/>
      <x:c r="Z28"/>
      <x:c r="AA28"/>
      <x:c r="AB28"/>
      <x:c r="AC28"/>
      <x:c r="AD28"/>
      <x:c r="AE28"/>
      <x:c r="AF28"/>
      <x:c r="AG28"/>
      <x:c r="AH28"/>
      <x:c r="AI28"/>
      <x:c r="AJ28"/>
      <x:c r="AK28"/>
      <x:c r="AL28"/>
      <x:c r="AM28"/>
      <x:c r="AN28"/>
      <x:c r="AO28"/>
      <x:c r="AP28"/>
      <x:c r="AQ28" s="291"/>
      <x:c r="AR28" s="291"/>
      <x:c r="AS28" s="291"/>
      <x:c r="AT28" s="291"/>
      <x:c r="AU28" s="291"/>
      <x:c r="AV28" s="291"/>
      <x:c r="AW28" s="291"/>
    </x:row>
    <x:row r="29">
      <x:c r="A29"/>
      <x:c r="B29"/>
      <x:c r="C29"/>
      <x:c r="D29"/>
      <x:c r="E29"/>
      <x:c r="F29"/>
      <x:c r="G29"/>
      <x:c r="H29"/>
      <x:c r="I29"/>
      <x:c r="J29"/>
      <x:c r="K29"/>
      <x:c r="L29"/>
      <x:c r="M29"/>
      <x:c r="N29"/>
      <x:c r="P29"/>
      <x:c r="Q29"/>
      <x:c r="R29"/>
      <x:c r="S29"/>
      <x:c r="T29"/>
      <x:c r="U29"/>
      <x:c r="V29"/>
      <x:c r="W29"/>
      <x:c r="X29"/>
      <x:c r="Y29"/>
      <x:c r="Z29"/>
      <x:c r="AA29"/>
      <x:c r="AB29"/>
      <x:c r="AC29"/>
      <x:c r="AD29"/>
      <x:c r="AE29"/>
      <x:c r="AF29"/>
      <x:c r="AG29"/>
      <x:c r="AH29"/>
      <x:c r="AI29"/>
      <x:c r="AJ29"/>
      <x:c r="AK29"/>
      <x:c r="AL29"/>
      <x:c r="AM29"/>
      <x:c r="AN29"/>
      <x:c r="AO29"/>
      <x:c r="AP29"/>
      <x:c r="AQ29" s="277"/>
      <x:c r="AR29" s="277"/>
      <x:c r="AS29" s="277"/>
      <x:c r="AT29" s="277"/>
      <x:c r="AU29" s="277"/>
      <x:c r="AV29" s="277"/>
      <x:c r="AW29" s="277"/>
    </x:row>
    <x:row r="30" ht="16.071428298950195" customHeight="1">
      <x:c r="A30"/>
      <x:c r="B30"/>
      <x:c r="C30"/>
      <x:c r="D30"/>
      <x:c r="E30"/>
      <x:c r="F30"/>
      <x:c r="G30"/>
      <x:c r="H30"/>
      <x:c r="I30"/>
      <x:c r="J30"/>
      <x:c r="K30"/>
      <x:c r="L30"/>
      <x:c r="M30"/>
      <x:c r="N30"/>
      <x:c r="O30"/>
      <x:c r="P30"/>
      <x:c r="Q30"/>
      <x:c r="R30"/>
      <x:c r="S30"/>
      <x:c r="T30"/>
      <x:c r="U30"/>
      <x:c r="V30"/>
      <x:c r="W30"/>
      <x:c r="X30"/>
      <x:c r="Y30"/>
      <x:c r="Z30"/>
      <x:c r="AA30"/>
      <x:c r="AB30"/>
      <x:c r="AC30"/>
      <x:c r="AD30"/>
      <x:c r="AE30"/>
      <x:c r="AF30"/>
      <x:c r="AG30"/>
      <x:c r="AH30"/>
      <x:c r="AI30"/>
      <x:c r="AJ30"/>
      <x:c r="AK30"/>
      <x:c r="AL30"/>
      <x:c r="AM30"/>
      <x:c r="AN30"/>
      <x:c r="AO30"/>
      <x:c r="AP30"/>
      <x:c r="AQ30" s="291"/>
      <x:c r="AR30" s="291"/>
      <x:c r="AS30" s="291"/>
      <x:c r="AT30" s="291"/>
      <x:c r="AU30" s="291"/>
      <x:c r="AV30" s="291"/>
      <x:c r="AW30" s="291"/>
    </x:row>
    <x:row r="31" ht="16.071428298950195" customHeight="1">
      <x:c r="A31"/>
      <x:c r="B31"/>
      <x:c r="C31"/>
      <x:c r="D31"/>
      <x:c r="E31"/>
      <x:c r="F31"/>
      <x:c r="G31"/>
      <x:c r="H31"/>
      <x:c r="I31"/>
      <x:c r="J31"/>
      <x:c r="K31"/>
      <x:c r="L31"/>
      <x:c r="M31"/>
      <x:c r="N31"/>
      <x:c r="O31"/>
      <x:c r="P31"/>
      <x:c r="Q31"/>
      <x:c r="R31"/>
      <x:c r="S31"/>
      <x:c r="T31"/>
      <x:c r="U31"/>
      <x:c r="V31"/>
      <x:c r="W31"/>
      <x:c r="X31"/>
      <x:c r="Y31"/>
      <x:c r="Z31"/>
      <x:c r="AA31"/>
      <x:c r="AB31"/>
      <x:c r="AC31"/>
      <x:c r="AD31"/>
      <x:c r="AE31"/>
      <x:c r="AF31"/>
      <x:c r="AG31"/>
      <x:c r="AH31"/>
      <x:c r="AI31"/>
      <x:c r="AJ31"/>
      <x:c r="AK31"/>
      <x:c r="AL31"/>
      <x:c r="AM31"/>
      <x:c r="AN31"/>
      <x:c r="AO31"/>
      <x:c r="AP31"/>
      <x:c r="AQ31" s="291"/>
      <x:c r="AR31" s="291"/>
      <x:c r="AS31" s="291"/>
      <x:c r="AT31" s="291"/>
      <x:c r="AU31" s="291"/>
      <x:c r="AV31" s="291"/>
      <x:c r="AW31" s="291"/>
    </x:row>
    <x:row r="32" ht="16.071428298950195" customHeight="1">
      <x:c r="A32"/>
      <x:c r="B32"/>
      <x:c r="C32"/>
      <x:c r="D32"/>
      <x:c r="E32"/>
      <x:c r="F32"/>
      <x:c r="G32"/>
      <x:c r="H32"/>
      <x:c r="I32"/>
      <x:c r="J32"/>
      <x:c r="K32"/>
      <x:c r="L32"/>
      <x:c r="M32"/>
      <x:c r="N32"/>
      <x:c r="O32"/>
      <x:c r="P32"/>
      <x:c r="Q32"/>
      <x:c r="R32"/>
      <x:c r="S32"/>
      <x:c r="T32"/>
      <x:c r="U32"/>
      <x:c r="V32"/>
      <x:c r="W32"/>
      <x:c r="X32"/>
      <x:c r="Y32"/>
      <x:c r="Z32"/>
      <x:c r="AA32"/>
      <x:c r="AB32"/>
      <x:c r="AC32"/>
      <x:c r="AD32"/>
      <x:c r="AE32"/>
      <x:c r="AF32"/>
      <x:c r="AG32"/>
      <x:c r="AH32"/>
      <x:c r="AI32"/>
      <x:c r="AJ32"/>
      <x:c r="AK32"/>
      <x:c r="AL32"/>
      <x:c r="AM32"/>
      <x:c r="AN32"/>
      <x:c r="AO32"/>
      <x:c r="AP32"/>
      <x:c r="AQ32" s="291"/>
      <x:c r="AR32" s="291"/>
      <x:c r="AS32" s="291"/>
      <x:c r="AT32" s="291"/>
      <x:c r="AU32" s="291"/>
      <x:c r="AV32" s="291"/>
      <x:c r="AW32" s="291"/>
    </x:row>
    <x:row r="33" ht="16.071428298950195" customHeight="1">
      <x:c r="A33"/>
      <x:c r="B33"/>
      <x:c r="C33"/>
      <x:c r="D33"/>
      <x:c r="E33"/>
      <x:c r="F33"/>
      <x:c r="G33"/>
      <x:c r="H33"/>
      <x:c r="I33"/>
      <x:c r="J33"/>
      <x:c r="K33"/>
      <x:c r="L33"/>
      <x:c r="M33"/>
      <x:c r="N33"/>
      <x:c r="O33"/>
      <x:c r="P33"/>
      <x:c r="Q33"/>
      <x:c r="R33"/>
      <x:c r="S33"/>
      <x:c r="T33"/>
      <x:c r="U33"/>
      <x:c r="V33"/>
      <x:c r="W33"/>
      <x:c r="X33"/>
      <x:c r="Y33"/>
      <x:c r="Z33"/>
      <x:c r="AA33"/>
      <x:c r="AB33"/>
      <x:c r="AC33"/>
      <x:c r="AD33"/>
      <x:c r="AE33"/>
      <x:c r="AF33"/>
      <x:c r="AG33"/>
      <x:c r="AH33"/>
      <x:c r="AI33"/>
      <x:c r="AJ33"/>
      <x:c r="AK33"/>
      <x:c r="AL33"/>
      <x:c r="AM33"/>
      <x:c r="AN33"/>
      <x:c r="AO33"/>
      <x:c r="AP33"/>
      <x:c r="AQ33" s="291"/>
      <x:c r="AR33" s="291"/>
      <x:c r="AS33" s="291"/>
      <x:c r="AT33" s="291"/>
      <x:c r="AU33" s="291"/>
      <x:c r="AV33" s="291"/>
      <x:c r="AW33" s="291"/>
    </x:row>
    <x:row r="34">
      <x:c r="A34"/>
      <x:c r="B34"/>
      <x:c r="C34"/>
      <x:c r="D34"/>
      <x:c r="E34"/>
      <x:c r="F34"/>
      <x:c r="G34"/>
      <x:c r="H34"/>
      <x:c r="I34"/>
      <x:c r="J34"/>
      <x:c r="K34"/>
      <x:c r="L34"/>
      <x:c r="M34"/>
      <x:c r="N34"/>
      <x:c r="P34"/>
      <x:c r="Q34"/>
      <x:c r="R34"/>
      <x:c r="S34"/>
      <x:c r="T34"/>
      <x:c r="U34"/>
      <x:c r="V34"/>
      <x:c r="W34"/>
      <x:c r="X34"/>
      <x:c r="Y34"/>
      <x:c r="Z34"/>
      <x:c r="AA34"/>
      <x:c r="AB34"/>
      <x:c r="AC34"/>
      <x:c r="AD34"/>
      <x:c r="AE34"/>
      <x:c r="AF34"/>
      <x:c r="AG34"/>
      <x:c r="AH34"/>
      <x:c r="AI34"/>
      <x:c r="AJ34"/>
      <x:c r="AK34"/>
      <x:c r="AL34"/>
      <x:c r="AM34"/>
      <x:c r="AN34"/>
      <x:c r="AO34"/>
      <x:c r="AP34"/>
      <x:c r="AQ34" s="291"/>
      <x:c r="AR34" s="291"/>
      <x:c r="AS34" s="291"/>
      <x:c r="AT34" s="291"/>
      <x:c r="AU34" s="291"/>
      <x:c r="AV34" s="291"/>
      <x:c r="AW34" s="291"/>
    </x:row>
    <x:row r="35">
      <x:c r="A35"/>
      <x:c r="B35"/>
      <x:c r="C35"/>
      <x:c r="D35"/>
      <x:c r="E35"/>
      <x:c r="F35"/>
      <x:c r="G35"/>
      <x:c r="H35"/>
      <x:c r="I35"/>
      <x:c r="J35"/>
      <x:c r="K35"/>
      <x:c r="L35"/>
      <x:c r="M35"/>
      <x:c r="N35"/>
      <x:c r="P35"/>
      <x:c r="Q35"/>
      <x:c r="R35"/>
      <x:c r="S35"/>
      <x:c r="T35"/>
      <x:c r="U35"/>
      <x:c r="V35"/>
      <x:c r="W35"/>
      <x:c r="X35"/>
      <x:c r="Y35"/>
      <x:c r="Z35"/>
      <x:c r="AA35"/>
      <x:c r="AB35"/>
      <x:c r="AC35"/>
      <x:c r="AD35"/>
      <x:c r="AE35"/>
      <x:c r="AF35"/>
      <x:c r="AG35"/>
      <x:c r="AH35"/>
      <x:c r="AI35"/>
      <x:c r="AJ35"/>
      <x:c r="AK35"/>
      <x:c r="AL35"/>
      <x:c r="AM35"/>
      <x:c r="AN35"/>
      <x:c r="AO35"/>
      <x:c r="AP35"/>
      <x:c r="AQ35" s="282"/>
      <x:c r="AR35" s="282"/>
      <x:c r="AS35" s="282"/>
      <x:c r="AT35" s="282"/>
      <x:c r="AU35" s="282"/>
      <x:c r="AV35" s="282"/>
      <x:c r="AW35" s="282"/>
    </x:row>
    <x:row r="36">
      <x:c r="A36"/>
      <x:c r="Q36"/>
      <x:c r="R36"/>
      <x:c r="S36"/>
      <x:c r="T36"/>
      <x:c r="U36"/>
      <x:c r="V36"/>
      <x:c r="W36"/>
      <x:c r="X36"/>
      <x:c r="Y36"/>
      <x:c r="Z36"/>
      <x:c r="AA36"/>
      <x:c r="AB36"/>
      <x:c r="AC36"/>
      <x:c r="AD36"/>
      <x:c r="AE36"/>
      <x:c r="AF36"/>
      <x:c r="AG36"/>
      <x:c r="AH36"/>
      <x:c r="AI36"/>
      <x:c r="AJ36"/>
      <x:c r="AK36"/>
      <x:c r="AL36"/>
      <x:c r="AM36"/>
      <x:c r="AN36"/>
      <x:c r="AO36"/>
      <x:c r="AP36"/>
      <x:c r="AQ36" s="326"/>
      <x:c r="AR36" s="326"/>
      <x:c r="AS36" s="326"/>
      <x:c r="AT36" s="326"/>
      <x:c r="AU36" s="326"/>
      <x:c r="AV36" s="326"/>
      <x:c r="AW36" s="326"/>
    </x:row>
    <x:row r="37">
      <x:c r="A37"/>
      <x:c r="B37"/>
      <x:c r="C37"/>
      <x:c r="P37"/>
      <x:c r="Q37"/>
      <x:c r="AB37"/>
      <x:c r="AC37"/>
      <x:c r="AD37"/>
      <x:c r="AE37"/>
      <x:c r="AP37"/>
      <x:c r="AQ37" s="326"/>
      <x:c r="AR37" s="326"/>
      <x:c r="AS37" s="326"/>
      <x:c r="AT37" s="326"/>
      <x:c r="AU37" s="326"/>
      <x:c r="AV37" s="326"/>
      <x:c r="AW37" s="326"/>
    </x:row>
    <x:row r="38">
      <x:c r="A38"/>
      <x:c r="B38"/>
      <x:c r="C38"/>
      <x:c r="P38"/>
      <x:c r="Q38"/>
      <x:c r="AB38"/>
      <x:c r="AC38"/>
      <x:c r="AD38"/>
      <x:c r="AE38"/>
      <x:c r="AP38"/>
      <x:c r="AQ38" s="326"/>
      <x:c r="AR38" s="326"/>
      <x:c r="AS38" s="326"/>
      <x:c r="AT38" s="326"/>
      <x:c r="AU38" s="326"/>
      <x:c r="AV38" s="326"/>
      <x:c r="AW38" s="326"/>
    </x:row>
    <x:row r="39">
      <x:c r="A39"/>
      <x:c r="AB39"/>
      <x:c r="AC39"/>
      <x:c r="AD39"/>
      <x:c r="AP39"/>
      <x:c r="AQ39" s="326"/>
      <x:c r="AR39" s="326"/>
      <x:c r="AS39" s="326"/>
      <x:c r="AT39" s="326"/>
      <x:c r="AU39" s="326"/>
      <x:c r="AV39" s="326"/>
      <x:c r="AW39" s="326"/>
    </x:row>
    <x:row r="40">
      <x:c r="A40"/>
      <x:c r="AB40"/>
      <x:c r="AC40"/>
      <x:c r="AD40"/>
      <x:c r="AP40"/>
      <x:c r="AQ40" s="326"/>
      <x:c r="AR40" s="326"/>
      <x:c r="AS40" s="326"/>
      <x:c r="AT40" s="326"/>
      <x:c r="AU40" s="326"/>
      <x:c r="AV40" s="326"/>
      <x:c r="AW40" s="326"/>
    </x:row>
    <x:row r="41">
      <x:c r="A41"/>
      <x:c r="AB41"/>
      <x:c r="AC41"/>
      <x:c r="AD41"/>
      <x:c r="AP41"/>
      <x:c r="AQ41" s="326"/>
      <x:c r="AR41" s="326"/>
      <x:c r="AS41" s="326"/>
      <x:c r="AT41" s="326"/>
      <x:c r="AU41" s="326"/>
      <x:c r="AV41" s="326"/>
      <x:c r="AW41" s="326"/>
    </x:row>
    <x:row r="42">
      <x:c r="A42"/>
      <x:c r="AB42"/>
      <x:c r="AC42"/>
      <x:c r="AD42"/>
      <x:c r="AP42"/>
      <x:c r="AQ42" s="326"/>
      <x:c r="AR42" s="326"/>
      <x:c r="AS42" s="326"/>
      <x:c r="AT42" s="326"/>
      <x:c r="AU42" s="326"/>
      <x:c r="AV42" s="326"/>
      <x:c r="AW42" s="326"/>
    </x:row>
  </x:sheetData>
  <x:mergeCells>
    <x:mergeCell ref="B1:N1"/>
  </x:mergeCells>
  <x:pageMargins left="0.7" right="0.7" top="0.75" bottom="0.75" header="0.3" footer="0.3"/>
</x:worksheet>
</file>

<file path=xl/worksheets/sheet5.xml><?xml version="1.0" encoding="utf-8"?>
<worksheet xmlns="http://schemas.openxmlformats.org/spreadsheetml/2006/main">
  <sheetViews>
    <sheetView showGridLines="0" workbookViewId="0"/>
  </sheetViews>
  <sheetFormatPr defaultRowHeight="16"/>
  <cols>
    <col min="9" max="9" width="19.846351623535156" hidden="0" customWidth="1"/>
    <col min="10" max="10" width="15.154929161071777" hidden="0" customWidth="1"/>
    <col min="1" max="1" width="7.226632595062256" hidden="0" customWidth="1"/>
    <col min="3" max="3" width="26.383342742919922" hidden="0" customWidth="1"/>
    <col min="4" max="4" width="30.31720733642578" hidden="0" customWidth="1"/>
    <col min="6" max="6" width="14.14084529876709" hidden="0" customWidth="1"/>
  </cols>
  <sheetData>
    <row r="1">
      <c r="A1" s="495" t="str">
        <v>STT</v>
      </c>
      <c r="B1" s="495" t="str">
        <v>Gói</v>
      </c>
      <c r="C1" s="495" t="str">
        <v>Đối tượng</v>
      </c>
      <c r="D1" s="495" t="str">
        <v>Giới hạn profile</v>
      </c>
      <c r="E1" s="495" t="str">
        <v>Số seat</v>
      </c>
      <c r="F1" s="495" t="str">
        <v>Giá tháng (VND)</v>
      </c>
      <c r="G1" s="495" t="str">
        <v>Trạng thái</v>
      </c>
      <c r="H1" s="495" t="str">
        <v>Trial</v>
      </c>
      <c r="I1" s="495" t="str">
        <v>Giá năm (VND)</v>
      </c>
      <c r="J1" s="495" t="str">
        <v>Ghi chú</v>
      </c>
    </row>
    <row r="2">
      <c r="A2" s="509" t="n">
        <v>1</v>
      </c>
      <c r="B2" s="510" t="str">
        <v>Free</v>
      </c>
      <c r="C2" s="510" t="str">
        <v>User mới / nhu cầu nhỏ</v>
      </c>
      <c r="D2" s="510" t="n">
        <v>10</v>
      </c>
      <c r="E2" s="509" t="n">
        <v>1</v>
      </c>
      <c r="F2" s="514" t="str"/>
      <c r="G2" s="509" t="str">
        <v>Đang áp dụng</v>
      </c>
      <c r="H2" s="510" t="str">
        <v>Có</v>
      </c>
      <c r="I2" s="515" t="str">
        <f t="shared" ref="I2:I46" si="0">IF(F2="","",F2*12)</f>
      </c>
      <c r="J2" s="512" t="inlineStr">
        <is>
          <t>Cơ chế trial và activation</t>
        </is>
      </c>
    </row>
    <row r="3">
      <c r="A3" s="509" t="n">
        <v>2</v>
      </c>
      <c r="B3" s="510" t="str">
        <v>Solo Pro</v>
      </c>
      <c r="C3" s="510" t="str">
        <v>Freelancer / Affiliate solo</v>
      </c>
      <c r="D3" s="510" t="str"/>
      <c r="E3" s="509" t="str"/>
      <c r="F3" s="514" t="str"/>
      <c r="G3" s="513" t="str">
        <v>Cần xác nhận</v>
      </c>
      <c r="H3" s="510" t="str"/>
      <c r="I3" s="515" t="str">
        <f t="shared" si="0">IF(F3="","",F3*12)</f>
      </c>
      <c r="J3" s="512" t="inlineStr">
        <is>
          <t>Chưa có pricing trong nguồn</t>
        </is>
      </c>
      <c r="K3" s="339"/>
    </row>
    <row r="4">
      <c r="A4" s="509" t="n">
        <v>3</v>
      </c>
      <c r="B4" s="510" t="str">
        <v>Team Pro</v>
      </c>
      <c r="C4" s="510" t="str">
        <v>Team Ads / Seller / Social Ops</v>
      </c>
      <c r="D4" s="510" t="str"/>
      <c r="E4" s="509" t="str"/>
      <c r="F4" s="514" t="str"/>
      <c r="G4" s="513" t="str">
        <v>Cần xác nhận</v>
      </c>
      <c r="H4" s="510" t="str"/>
      <c r="I4" s="515" t="str">
        <f t="shared" si="0">IF(F4="","",F4*12)</f>
      </c>
      <c r="J4" s="512" t="inlineStr">
        <is>
          <t>Ưu tiên permission và handoff</t>
        </is>
      </c>
      <c r="K4" s="339"/>
    </row>
    <row r="5">
      <c r="A5" s="509" t="n">
        <v>4</v>
      </c>
      <c r="B5" s="510" t="str">
        <v>Lifetime</v>
      </c>
      <c r="C5" s="510" t="str">
        <v>User volume / nhạy giá</v>
      </c>
      <c r="D5" s="510" t="str"/>
      <c r="E5" s="509" t="str"/>
      <c r="F5" s="514" t="str"/>
      <c r="G5" s="513" t="str">
        <v>Cần đánh giá</v>
      </c>
      <c r="H5" s="510" t="str"/>
      <c r="I5" s="515" t="str">
        <f t="shared" si="0">IF(F5="","",F5*12)</f>
      </c>
      <c r="J5" s="512" t="inlineStr">
        <is>
          <t>Không dùng làm trục định vị</t>
        </is>
      </c>
      <c r="K5" s="339"/>
    </row>
    <row r="6">
      <c r="A6" s="509" t="n">
        <v>5</v>
      </c>
      <c r="B6" s="510" t="str">
        <v>Business</v>
      </c>
      <c r="C6" s="510" t="str">
        <v>Agency / team lớn</v>
      </c>
      <c r="D6" s="510" t="str"/>
      <c r="E6" s="509" t="str"/>
      <c r="F6" s="514" t="str"/>
      <c r="G6" s="513" t="str">
        <v>Tương lai</v>
      </c>
      <c r="H6" s="510" t="str"/>
      <c r="I6" s="515" t="str">
        <f t="shared" si="0">IF(F6="","",F6*12)</f>
      </c>
      <c r="J6" s="512" t="inlineStr">
        <is>
          <t>Cần reliability, audit, SLA và support</t>
        </is>
      </c>
      <c r="K6" s="339"/>
    </row>
    <row r="7">
      <c r="A7" s="509"/>
      <c r="B7" s="510"/>
      <c r="C7" s="510"/>
      <c r="D7" s="510"/>
      <c r="E7" s="509"/>
      <c r="F7" s="511"/>
      <c r="G7" s="509"/>
      <c r="H7" s="510"/>
      <c r="I7" s="512"/>
      <c r="J7" s="512"/>
      <c r="K7" s="339"/>
    </row>
    <row r="8">
      <c r="A8" s="509" t="str">
        <v>Lưu ý</v>
      </c>
      <c r="B8" s="510" t="str">
        <v>Không tự đặt giá khi chưa có quyết định pricing. Các ô trống là dữ liệu cần bổ sung.</v>
      </c>
      <c r="C8" s="510" t="str"/>
      <c r="D8" s="510" t="str"/>
      <c r="E8" s="509" t="str"/>
      <c r="F8" s="511" t="str"/>
      <c r="G8" s="513" t="str"/>
      <c r="H8" s="510" t="str"/>
      <c r="I8" s="512"/>
      <c r="J8" s="512"/>
      <c r="K8" s="339"/>
    </row>
    <row r="9">
      <c r="A9" s="333"/>
      <c r="B9" s="334"/>
      <c r="C9" s="334"/>
      <c r="D9" s="334"/>
      <c r="E9" s="333"/>
      <c r="F9" s="335"/>
      <c r="G9" s="333"/>
      <c r="H9" s="336"/>
      <c r="I9"/>
      <c r="J9"/>
      <c r="K9" s="339"/>
    </row>
    <row r="10">
      <c r="A10" s="333"/>
      <c r="B10" s="334"/>
      <c r="C10" s="334"/>
      <c r="D10" s="334"/>
      <c r="E10" s="333"/>
      <c r="F10" s="335"/>
      <c r="G10" s="338"/>
      <c r="H10" s="336"/>
      <c r="I10"/>
      <c r="J10"/>
      <c r="K10" s="339"/>
    </row>
    <row r="11">
      <c r="A11" s="333"/>
      <c r="B11" s="334"/>
      <c r="C11" s="334"/>
      <c r="D11" s="334"/>
      <c r="E11" s="333"/>
      <c r="F11" s="335"/>
      <c r="G11" s="338"/>
      <c r="H11" s="336"/>
      <c r="I11"/>
      <c r="J11"/>
      <c r="K11" s="339"/>
    </row>
    <row r="12">
      <c r="A12" s="333"/>
      <c r="B12" s="334"/>
      <c r="C12" s="334"/>
      <c r="D12" s="334"/>
      <c r="E12" s="333"/>
      <c r="F12" s="335"/>
      <c r="G12" s="338"/>
      <c r="H12" s="336"/>
      <c r="I12"/>
      <c r="J12"/>
      <c r="K12" s="339"/>
    </row>
    <row r="13">
      <c r="A13" s="333"/>
      <c r="B13" s="334"/>
      <c r="C13" s="334"/>
      <c r="D13" s="334"/>
      <c r="E13" s="333"/>
      <c r="F13" s="335"/>
      <c r="G13" s="338"/>
      <c r="H13" s="336"/>
      <c r="I13"/>
      <c r="J13"/>
      <c r="K13" s="339"/>
    </row>
    <row r="14">
      <c r="A14" s="333"/>
      <c r="B14" s="334"/>
      <c r="C14" s="334"/>
      <c r="D14" s="334"/>
      <c r="E14" s="333"/>
      <c r="F14" s="335"/>
      <c r="G14" s="338"/>
      <c r="H14" s="336"/>
      <c r="I14"/>
      <c r="J14"/>
      <c r="K14" s="339"/>
    </row>
    <row r="15">
      <c r="A15" s="333"/>
      <c r="B15" s="334"/>
      <c r="C15" s="334"/>
      <c r="D15" s="334"/>
      <c r="E15" s="333"/>
      <c r="F15" s="335"/>
      <c r="G15" s="333"/>
      <c r="H15" s="336"/>
      <c r="I15"/>
      <c r="J15"/>
      <c r="K15" s="339"/>
    </row>
    <row r="16">
      <c r="A16" s="333"/>
      <c r="B16" s="334"/>
      <c r="C16" s="334"/>
      <c r="D16" s="334"/>
      <c r="E16" s="333"/>
      <c r="F16" s="335"/>
      <c r="G16" s="338"/>
      <c r="H16" s="336"/>
      <c r="I16"/>
      <c r="J16"/>
      <c r="K16" s="339"/>
    </row>
    <row r="17">
      <c r="A17" s="333"/>
      <c r="B17" s="334"/>
      <c r="C17" s="334"/>
      <c r="D17" s="334"/>
      <c r="E17" s="333"/>
      <c r="F17" s="335"/>
      <c r="G17" s="338"/>
      <c r="H17" s="336"/>
      <c r="I17"/>
      <c r="J17"/>
      <c r="K17" s="339"/>
    </row>
    <row r="18">
      <c r="A18" s="333"/>
      <c r="B18" s="334"/>
      <c r="C18" s="334"/>
      <c r="D18" s="334"/>
      <c r="E18" s="333"/>
      <c r="F18" s="335"/>
      <c r="G18" s="338"/>
      <c r="H18" s="336"/>
      <c r="I18"/>
      <c r="J18"/>
      <c r="K18" s="339"/>
    </row>
    <row r="19">
      <c r="A19" s="333"/>
      <c r="B19" s="334"/>
      <c r="C19" s="334"/>
      <c r="D19" s="334"/>
      <c r="E19" s="333"/>
      <c r="F19" s="335"/>
      <c r="G19" s="338"/>
      <c r="H19" s="336"/>
      <c r="I19"/>
      <c r="J19"/>
      <c r="K19" s="339"/>
    </row>
    <row r="20">
      <c r="A20" s="333"/>
      <c r="B20" s="334"/>
      <c r="C20" s="334"/>
      <c r="D20" s="334"/>
      <c r="E20" s="333"/>
      <c r="F20" s="335"/>
      <c r="G20" s="333"/>
      <c r="H20" s="336"/>
      <c r="I20"/>
      <c r="J20"/>
      <c r="K20" s="339"/>
    </row>
    <row r="21">
      <c r="A21" s="333"/>
      <c r="B21" s="334"/>
      <c r="C21" s="334"/>
      <c r="D21" s="334"/>
      <c r="E21" s="333"/>
      <c r="F21" s="335"/>
      <c r="G21" s="338"/>
      <c r="H21" s="336"/>
      <c r="I21"/>
      <c r="J21"/>
      <c r="K21" s="339"/>
    </row>
    <row r="22">
      <c r="A22" s="333"/>
      <c r="B22" s="334"/>
      <c r="C22" s="334"/>
      <c r="D22" s="334"/>
      <c r="E22" s="333"/>
      <c r="F22" s="335"/>
      <c r="G22" s="338"/>
      <c r="H22" s="336"/>
      <c r="I22"/>
      <c r="J22"/>
      <c r="K22" s="339"/>
    </row>
    <row r="23">
      <c r="A23" s="333"/>
      <c r="B23" s="334"/>
      <c r="C23" s="334"/>
      <c r="D23" s="334"/>
      <c r="E23" s="333"/>
      <c r="F23" s="335"/>
      <c r="G23" s="338"/>
      <c r="H23" s="336"/>
      <c r="I23"/>
      <c r="J23"/>
      <c r="K23" s="339"/>
    </row>
    <row r="24">
      <c r="A24" s="333"/>
      <c r="B24" s="334"/>
      <c r="C24" s="334"/>
      <c r="D24" s="334"/>
      <c r="E24" s="333"/>
      <c r="F24" s="335"/>
      <c r="G24" s="338"/>
      <c r="H24" s="336"/>
      <c r="I24"/>
      <c r="J24"/>
      <c r="K24" s="339"/>
    </row>
    <row r="25">
      <c r="A25" s="333"/>
      <c r="B25" s="334"/>
      <c r="C25" s="334"/>
      <c r="D25" s="334"/>
      <c r="E25" s="333"/>
      <c r="F25" s="335"/>
      <c r="G25" s="338"/>
      <c r="H25" s="336"/>
      <c r="I25"/>
      <c r="J25"/>
      <c r="K25" s="339"/>
    </row>
    <row r="26">
      <c r="A26" s="333"/>
      <c r="B26" s="334"/>
      <c r="C26" s="334"/>
      <c r="D26" s="334"/>
      <c r="E26" s="333"/>
      <c r="F26" s="335"/>
      <c r="G26" s="338"/>
      <c r="H26" s="336"/>
      <c r="I26"/>
      <c r="J26"/>
      <c r="K26" s="339"/>
    </row>
    <row r="27">
      <c r="A27" s="333"/>
      <c r="B27" s="334"/>
      <c r="C27" s="334"/>
      <c r="D27" s="334"/>
      <c r="E27" s="333"/>
      <c r="F27" s="335"/>
      <c r="G27" s="338"/>
      <c r="H27" s="336"/>
      <c r="I27"/>
      <c r="J27"/>
      <c r="K27" s="339"/>
    </row>
    <row r="28">
      <c r="A28" s="333"/>
      <c r="B28" s="334"/>
      <c r="C28" s="334"/>
      <c r="D28" s="334"/>
      <c r="E28" s="333"/>
      <c r="F28" s="335"/>
      <c r="G28" s="338"/>
      <c r="H28" s="336"/>
      <c r="I28"/>
      <c r="J28"/>
      <c r="K28" s="339"/>
    </row>
    <row r="29">
      <c r="A29" s="333"/>
      <c r="B29" s="334"/>
      <c r="C29" s="334"/>
      <c r="D29" s="334"/>
      <c r="E29" s="333"/>
      <c r="F29" s="335"/>
      <c r="G29" s="338"/>
      <c r="H29" s="336"/>
      <c r="I29"/>
      <c r="J29"/>
      <c r="K29" s="339"/>
    </row>
    <row r="30">
      <c r="A30" s="333"/>
      <c r="B30" s="334"/>
      <c r="C30" s="334"/>
      <c r="D30" s="334"/>
      <c r="E30" s="333"/>
      <c r="F30" s="335"/>
      <c r="G30" s="338"/>
      <c r="H30" s="336"/>
      <c r="I30"/>
      <c r="J30"/>
      <c r="K30" s="339"/>
    </row>
    <row r="31">
      <c r="A31" s="333"/>
      <c r="B31" s="334"/>
      <c r="C31" s="334"/>
      <c r="D31" s="334"/>
      <c r="E31" s="333"/>
      <c r="F31" s="335"/>
      <c r="G31" s="338"/>
      <c r="H31" s="336"/>
      <c r="I31"/>
      <c r="J31"/>
      <c r="K31" s="339"/>
    </row>
    <row r="32">
      <c r="A32" s="333"/>
      <c r="B32" s="334"/>
      <c r="C32" s="334"/>
      <c r="D32" s="334"/>
      <c r="E32" s="333"/>
      <c r="F32" s="335"/>
      <c r="G32" s="338"/>
      <c r="H32" s="336"/>
      <c r="I32"/>
      <c r="J32"/>
      <c r="K32" s="339"/>
    </row>
    <row r="33">
      <c r="A33" s="333"/>
      <c r="B33" s="334"/>
      <c r="C33" s="334"/>
      <c r="D33" s="334"/>
      <c r="E33" s="333"/>
      <c r="F33" s="335"/>
      <c r="G33" s="338"/>
      <c r="H33" s="336"/>
      <c r="I33"/>
      <c r="J33"/>
      <c r="K33" s="339"/>
    </row>
    <row r="34">
      <c r="A34" s="333"/>
      <c r="B34" s="334"/>
      <c r="C34" s="334"/>
      <c r="D34" s="334"/>
      <c r="E34" s="333"/>
      <c r="F34" s="335"/>
      <c r="G34" s="333"/>
      <c r="H34" s="336"/>
      <c r="I34"/>
      <c r="J34"/>
      <c r="K34" s="339"/>
    </row>
    <row r="35">
      <c r="A35" s="333"/>
      <c r="B35" s="334"/>
      <c r="C35" s="334"/>
      <c r="D35" s="334"/>
      <c r="E35" s="333"/>
      <c r="F35" s="335"/>
      <c r="G35" s="338"/>
      <c r="H35" s="336"/>
      <c r="I35"/>
      <c r="J35"/>
      <c r="K35" s="339"/>
    </row>
    <row r="36">
      <c r="A36" s="333"/>
      <c r="B36" s="334"/>
      <c r="C36" s="334"/>
      <c r="D36" s="334"/>
      <c r="E36" s="333"/>
      <c r="F36" s="335"/>
      <c r="G36" s="338"/>
      <c r="H36" s="336"/>
      <c r="I36"/>
      <c r="J36"/>
      <c r="K36" s="339"/>
    </row>
    <row r="37">
      <c r="A37" s="333"/>
      <c r="B37" s="334"/>
      <c r="C37" s="334"/>
      <c r="D37" s="334"/>
      <c r="E37" s="333"/>
      <c r="F37" s="335"/>
      <c r="G37" s="338"/>
      <c r="H37" s="336"/>
      <c r="I37"/>
      <c r="J37"/>
      <c r="K37" s="339"/>
    </row>
    <row r="38">
      <c r="A38" s="333"/>
      <c r="B38" s="334"/>
      <c r="C38" s="334"/>
      <c r="D38" s="334"/>
      <c r="E38" s="333"/>
      <c r="F38" s="335"/>
      <c r="G38" s="333"/>
      <c r="H38" s="336"/>
      <c r="I38"/>
      <c r="J38"/>
      <c r="K38" s="339"/>
    </row>
    <row r="39">
      <c r="A39" s="333"/>
      <c r="B39" s="334"/>
      <c r="C39" s="334"/>
      <c r="D39" s="334"/>
      <c r="E39" s="333"/>
      <c r="F39" s="335"/>
      <c r="G39" s="338"/>
      <c r="H39" s="336"/>
      <c r="I39"/>
      <c r="J39"/>
      <c r="K39" s="339"/>
    </row>
    <row r="40">
      <c r="A40" s="333"/>
      <c r="B40" s="334"/>
      <c r="C40" s="334"/>
      <c r="D40" s="334"/>
      <c r="E40" s="333"/>
      <c r="F40" s="335"/>
      <c r="G40" s="338"/>
      <c r="H40" s="336"/>
      <c r="I40"/>
      <c r="J40"/>
      <c r="K40" s="339"/>
    </row>
    <row r="41">
      <c r="A41" s="333"/>
      <c r="B41" s="334"/>
      <c r="C41" s="334"/>
      <c r="D41" s="334"/>
      <c r="E41" s="333"/>
      <c r="F41" s="335"/>
      <c r="G41" s="338"/>
      <c r="H41" s="336"/>
      <c r="I41"/>
      <c r="J41"/>
      <c r="K41" s="339"/>
    </row>
    <row r="42">
      <c r="A42" s="333"/>
      <c r="B42" s="334"/>
      <c r="C42" s="334"/>
      <c r="D42" s="334"/>
      <c r="E42" s="333"/>
      <c r="F42" s="335"/>
      <c r="G42" s="338"/>
      <c r="H42" s="336"/>
      <c r="I42"/>
      <c r="J42"/>
      <c r="K42" s="339"/>
    </row>
    <row r="43">
      <c r="A43" s="333"/>
      <c r="B43" s="334"/>
      <c r="C43" s="334"/>
      <c r="D43" s="334"/>
      <c r="E43" s="333"/>
      <c r="F43" s="335"/>
      <c r="G43" s="338"/>
      <c r="H43" s="336"/>
      <c r="I43"/>
      <c r="J43"/>
      <c r="K43" s="339"/>
    </row>
    <row r="44">
      <c r="A44" s="333"/>
      <c r="B44" s="334"/>
      <c r="C44" s="334"/>
      <c r="D44" s="334"/>
      <c r="E44" s="333"/>
      <c r="F44" s="335"/>
      <c r="G44" s="338"/>
      <c r="H44" s="336"/>
      <c r="I44"/>
      <c r="J44"/>
      <c r="K44" s="339"/>
    </row>
    <row r="45">
      <c r="A45" s="333"/>
      <c r="B45" s="334"/>
      <c r="C45" s="334"/>
      <c r="D45" s="334"/>
      <c r="E45" s="333"/>
      <c r="F45" s="335"/>
      <c r="G45" s="338"/>
      <c r="H45" s="336"/>
      <c r="I45"/>
      <c r="J45"/>
      <c r="K45" s="339"/>
    </row>
    <row r="46">
      <c r="A46" s="333"/>
      <c r="B46" s="334"/>
      <c r="C46" s="334"/>
      <c r="D46" s="334"/>
      <c r="E46" s="333"/>
      <c r="F46" s="335"/>
      <c r="G46" s="338"/>
      <c r="H46" s="336"/>
      <c r="I46"/>
      <c r="J46"/>
      <c r="K46" s="339"/>
    </row>
    <row r="47">
      <c r="A47" s="340"/>
      <c r="B47" s="340"/>
      <c r="C47" s="340"/>
      <c r="D47" s="340"/>
      <c r="E47" s="340"/>
      <c r="F47" s="341"/>
      <c r="G47" s="342"/>
      <c r="H47" s="343"/>
      <c r="I47" s="341"/>
      <c r="J47" s="341"/>
      <c r="K47" s="339"/>
    </row>
    <row r="48">
      <c r="A48" s="339"/>
      <c r="B48" s="339"/>
      <c r="C48" s="339"/>
      <c r="D48" s="339"/>
      <c r="E48" s="339"/>
      <c r="F48" s="339"/>
      <c r="G48" s="339"/>
      <c r="H48" s="339"/>
      <c r="I48" s="339"/>
      <c r="J48" s="339"/>
    </row>
  </sheetData>
  <mergeCells>
    <mergeCell ref="A47:E47"/>
  </mergeCells>
  <pageMargins left="0.7" right="0.7" top="0.75" bottom="0.75" header="0.3" footer="0.3"/>
</worksheet>
</file>

<file path=xl/worksheets/sheet6.xml><?xml version="1.0" encoding="utf-8"?>
<worksheet xmlns="http://schemas.openxmlformats.org/spreadsheetml/2006/main">
  <sheetViews>
    <sheetView showGridLines="0" workbookViewId="0">
      <pane ySplit="2" topLeftCell="A3" activePane="bottomLeft" state="frozen"/>
    </sheetView>
  </sheetViews>
  <sheetFormatPr defaultRowHeight="16"/>
  <cols>
    <col min="1" max="1" width="7" customWidth="1"/>
    <col min="2" max="2" width="24" customWidth="1"/>
    <col min="3" max="3" width="18" customWidth="1"/>
    <col min="4" max="4" width="18" customWidth="1"/>
    <col min="5" max="5" width="22" customWidth="1"/>
    <col min="6" max="6" width="18" customWidth="1"/>
    <col min="7" max="7" width="22" customWidth="1"/>
    <col min="8" max="8" width="22" customWidth="1"/>
    <col min="9" max="9" width="18" customWidth="1"/>
    <col min="10" max="10" width="16" customWidth="1"/>
    <col min="11" max="11" width="16" customWidth="1"/>
    <col min="12" max="12" width="20" customWidth="1"/>
    <col min="13" max="13" width="24" customWidth="1"/>
  </cols>
  <sheetData>
    <row r="1" ht="17.46031379699707" customHeight="1">
      <c r="A1" s="526" t="str">
        <v>KHUNG NGHIÊN CỨU TỪ KHÓA VÀ ĐỐI THỦ</v>
      </c>
      <c r="B1" s="526"/>
      <c r="C1" s="526"/>
      <c r="D1" s="526"/>
      <c r="E1" s="526"/>
      <c r="F1" s="526"/>
      <c r="G1" s="526"/>
      <c r="H1" s="526"/>
      <c r="I1" s="526"/>
      <c r="J1" s="526"/>
      <c r="K1" s="526"/>
      <c r="L1" s="526"/>
      <c r="M1" s="526"/>
      <c r="N1"/>
      <c r="O1"/>
      <c r="P1"/>
      <c r="Q1"/>
      <c r="R1"/>
      <c r="S1"/>
      <c r="T1"/>
      <c r="U1"/>
      <c r="V1"/>
      <c r="W1"/>
      <c r="X1"/>
      <c r="Y1"/>
      <c r="Z1"/>
      <c r="AA1"/>
      <c r="AB1"/>
    </row>
    <row r="2">
      <c r="A2" s="531" t="str">
        <v>STT</v>
      </c>
      <c r="B2" s="531" t="str">
        <v>Từ khóa / chủ đề</v>
      </c>
      <c r="C2" s="531" t="str">
        <v>Mức nhận thức</v>
      </c>
      <c r="D2" s="531" t="str">
        <v>ICP</v>
      </c>
      <c r="E2" s="531" t="str">
        <v>Pain</v>
      </c>
      <c r="F2" s="531" t="str">
        <v>Search intent</v>
      </c>
      <c r="G2" s="531" t="str">
        <v>Đối thủ xuất hiện</v>
      </c>
      <c r="H2" s="531" t="str">
        <v>Loại nội dung</v>
      </c>
      <c r="I2" s="531" t="str">
        <v>CTA</v>
      </c>
      <c r="J2" s="531" t="str">
        <v>Kênh</v>
      </c>
      <c r="K2" s="531" t="str">
        <v>Trạng thái</v>
      </c>
      <c r="L2" s="531" t="str">
        <v>Bằng chứng</v>
      </c>
      <c r="M2" s="531" t="str">
        <v>Ghi chú</v>
      </c>
      <c r="N2"/>
      <c r="O2"/>
      <c r="P2"/>
      <c r="Q2"/>
      <c r="R2"/>
      <c r="S2"/>
      <c r="T2"/>
      <c r="U2"/>
      <c r="V2"/>
      <c r="W2"/>
      <c r="X2"/>
      <c r="Y2"/>
      <c r="Z2"/>
      <c r="AA2"/>
      <c r="AB2"/>
    </row>
    <row r="3" ht="48" customHeight="1">
      <c r="A3" s="512" t="n">
        <v>1</v>
      </c>
      <c r="B3" s="512" t="str">
        <v>antidetect browser</v>
      </c>
      <c r="C3" s="512" t="str">
        <v>Biết loại công cụ</v>
      </c>
      <c r="D3" s="512" t="str">
        <v>Chung</v>
      </c>
      <c r="E3" s="512" t="str">
        <v>Category</v>
      </c>
      <c r="F3" s="512" t="str">
        <v>Review / comparison</v>
      </c>
      <c r="G3" s="512" t="str">
        <v>Cần research</v>
      </c>
      <c r="H3" s="512" t="str">
        <v>Comparison</v>
      </c>
      <c r="I3" s="512" t="str">
        <v>Xem demo</v>
      </c>
      <c r="J3" s="512" t="str">
        <v>SEO/Search</v>
      </c>
      <c r="K3" s="512" t="str">
        <v>Cần nghiên cứu</v>
      </c>
      <c r="L3" s="512" t="str"/>
      <c r="M3" s="512" t="str"/>
      <c r="N3"/>
    </row>
    <row r="4" ht="48" customHeight="1">
      <c r="A4" s="512" t="n">
        <v>2</v>
      </c>
      <c r="B4" s="512" t="str">
        <v>multi-account browser</v>
      </c>
      <c r="C4" s="512" t="str">
        <v>Biết giải pháp</v>
      </c>
      <c r="D4" s="512" t="str">
        <v>4 P1</v>
      </c>
      <c r="E4" s="512" t="str">
        <v>Nhiều account</v>
      </c>
      <c r="F4" s="512" t="str">
        <v>Guide / tool</v>
      </c>
      <c r="G4" s="512" t="str">
        <v>Cần research</v>
      </c>
      <c r="H4" s="512" t="str">
        <v>Education</v>
      </c>
      <c r="I4" s="512" t="str">
        <v>Tạo profile</v>
      </c>
      <c r="J4" s="512" t="str">
        <v>SEO/Search</v>
      </c>
      <c r="K4" s="512" t="str">
        <v>Cần nghiên cứu</v>
      </c>
      <c r="L4" s="512" t="str"/>
      <c r="M4" s="512" t="str"/>
      <c r="N4"/>
    </row>
    <row r="5" ht="48" customHeight="1">
      <c r="A5" s="512" t="n">
        <v>3</v>
      </c>
      <c r="B5" s="512" t="str">
        <v>quản lý nhiều tài khoản</v>
      </c>
      <c r="C5" s="512" t="str">
        <v>Biết vấn đề</v>
      </c>
      <c r="D5" s="512" t="str">
        <v>Seller/Ads</v>
      </c>
      <c r="E5" s="512" t="str">
        <v>Organization</v>
      </c>
      <c r="F5" s="512" t="str">
        <v>How-to</v>
      </c>
      <c r="G5" s="512" t="str">
        <v>Chrome/manual</v>
      </c>
      <c r="H5" s="512" t="str">
        <v>Problem → solution</v>
      </c>
      <c r="I5" s="512" t="str">
        <v>Thử 3 account</v>
      </c>
      <c r="J5" s="512" t="str">
        <v>Social/SEO</v>
      </c>
      <c r="K5" s="512" t="str">
        <v>Ưu tiên</v>
      </c>
      <c r="L5" s="512" t="str"/>
      <c r="M5" s="512" t="str"/>
      <c r="N5"/>
    </row>
    <row r="6" ht="48" customHeight="1">
      <c r="A6" s="512" t="n">
        <v>4</v>
      </c>
      <c r="B6" s="512" t="str">
        <v>Chrome profile vs antidetect</v>
      </c>
      <c r="C6" s="512" t="str">
        <v>Biết giải pháp</v>
      </c>
      <c r="D6" s="512" t="str">
        <v>Chung</v>
      </c>
      <c r="E6" s="512" t="str">
        <v>Manual workflow</v>
      </c>
      <c r="F6" s="512" t="str">
        <v>Comparison</v>
      </c>
      <c r="G6" s="512" t="str">
        <v>Chrome</v>
      </c>
      <c r="H6" s="512" t="str">
        <v>Comparison</v>
      </c>
      <c r="I6" s="512" t="str">
        <v>Kiểm tra workflow</v>
      </c>
      <c r="J6" s="512" t="str">
        <v>SEO/Social</v>
      </c>
      <c r="K6" s="512" t="str">
        <v>Ưu tiên</v>
      </c>
      <c r="L6" s="512" t="str"/>
      <c r="M6" s="512" t="str"/>
      <c r="N6"/>
    </row>
    <row r="7" ht="48" customHeight="1">
      <c r="A7" s="512" t="n">
        <v>5</v>
      </c>
      <c r="B7" s="512" t="str">
        <v>phân quyền tài khoản team ads</v>
      </c>
      <c r="C7" s="512" t="str">
        <v>Biết vấn đề</v>
      </c>
      <c r="D7" s="512" t="str">
        <v>Team Ads</v>
      </c>
      <c r="E7" s="512" t="str">
        <v>Permission/handoff</v>
      </c>
      <c r="F7" s="512" t="str">
        <v>How-to</v>
      </c>
      <c r="G7" s="512" t="str">
        <v>AdsPower/Hidemyacc</v>
      </c>
      <c r="H7" s="512" t="str">
        <v>Education/demo</v>
      </c>
      <c r="I7" s="512" t="str">
        <v>Setup 2–3 thành viên</v>
      </c>
      <c r="J7" s="512" t="str">
        <v>Facebook/Outbound</v>
      </c>
      <c r="K7" s="512" t="str">
        <v>Ưu tiên</v>
      </c>
      <c r="L7" s="512" t="str"/>
      <c r="M7" s="512" t="str"/>
    </row>
    <row r="8" ht="48" customHeight="1">
      <c r="A8" s="512" t="n">
        <v>6</v>
      </c>
      <c r="B8" s="512" t="str">
        <v>quản lý nhiều shop</v>
      </c>
      <c r="C8" s="512" t="str">
        <v>Biết vấn đề</v>
      </c>
      <c r="D8" s="512" t="str">
        <v>Seller</v>
      </c>
      <c r="E8" s="512" t="str">
        <v>Organization/isolation</v>
      </c>
      <c r="F8" s="512" t="str">
        <v>How-to</v>
      </c>
      <c r="G8" s="512" t="str">
        <v>Chrome/manual</v>
      </c>
      <c r="H8" s="512" t="str">
        <v>Checklist/demo</v>
      </c>
      <c r="I8" s="512" t="str">
        <v>Đưa 3 shop vào test</v>
      </c>
      <c r="J8" s="512" t="str">
        <v>TikTok/Group</v>
      </c>
      <c r="K8" s="512" t="str">
        <v>Ưu tiên</v>
      </c>
      <c r="L8" s="512" t="str"/>
      <c r="M8" s="512" t="str"/>
    </row>
    <row r="9" ht="48" customHeight="1">
      <c r="A9" s="512" t="n">
        <v>7</v>
      </c>
      <c r="B9" s="512" t="str">
        <v>sync nhiều profile</v>
      </c>
      <c r="C9" s="512" t="str">
        <v>Biết giải pháp</v>
      </c>
      <c r="D9" s="512" t="str">
        <v>Social Ops</v>
      </c>
      <c r="E9" s="512" t="str">
        <v>Repeated tasks</v>
      </c>
      <c r="F9" s="512" t="str">
        <v>Feature/demo</v>
      </c>
      <c r="G9" s="512" t="str">
        <v>GenLogin/AdsPower</v>
      </c>
      <c r="H9" s="512" t="str">
        <v>Product proof</v>
      </c>
      <c r="I9" s="512" t="str">
        <v>Test batch nhỏ</v>
      </c>
      <c r="J9" s="512" t="str">
        <v>TikTok/Facebook</v>
      </c>
      <c r="K9" s="512" t="str">
        <v>Ưu tiên</v>
      </c>
      <c r="L9" s="512" t="str"/>
      <c r="M9" s="512" t="str"/>
    </row>
    <row r="10" ht="48" customHeight="1">
      <c r="A10" s="512" t="n">
        <v>8</v>
      </c>
      <c r="B10" s="512" t="str">
        <v>chuyển profile antidetect</v>
      </c>
      <c r="C10" s="512" t="str">
        <v>Muốn chuyển tool</v>
      </c>
      <c r="D10" s="512" t="str">
        <v>Power user</v>
      </c>
      <c r="E10" s="512" t="str">
        <v>Migration</v>
      </c>
      <c r="F10" s="512" t="str">
        <v>Migration guide</v>
      </c>
      <c r="G10" s="512" t="str">
        <v>Hidemyacc/AdsPower</v>
      </c>
      <c r="H10" s="512" t="str">
        <v>Migration proof</v>
      </c>
      <c r="I10" s="512" t="str">
        <v>Test song song</v>
      </c>
      <c r="J10" s="512" t="str">
        <v>SEO/Outbound</v>
      </c>
      <c r="K10" s="512" t="str">
        <v>Sau benchmark</v>
      </c>
      <c r="L10" s="512" t="str"/>
      <c r="M10" s="512" t="str"/>
    </row>
    <row r="11" ht="40.68062973022461" customHeight="1">
      <c r="A11"/>
      <c r="B11"/>
      <c r="C11"/>
      <c r="D11"/>
      <c r="E11"/>
      <c r="F11"/>
      <c r="G11"/>
      <c r="H11"/>
      <c r="I11"/>
    </row>
    <row r="12" ht="33.24662780761719" customHeight="1">
      <c r="A12"/>
      <c r="B12"/>
      <c r="C12"/>
      <c r="D12"/>
      <c r="E12"/>
      <c r="F12"/>
      <c r="G12"/>
      <c r="H12"/>
      <c r="I12"/>
    </row>
    <row r="13" ht="50.60157775878906" customHeight="1">
      <c r="A13"/>
      <c r="B13"/>
      <c r="C13"/>
      <c r="D13"/>
      <c r="E13"/>
      <c r="F13"/>
      <c r="G13"/>
      <c r="H13"/>
      <c r="I13"/>
    </row>
    <row r="14" ht="29.33723258972168" customHeight="1">
      <c r="A14"/>
      <c r="B14"/>
      <c r="C14"/>
      <c r="D14"/>
      <c r="E14"/>
      <c r="F14"/>
      <c r="G14"/>
      <c r="H14"/>
      <c r="I14"/>
    </row>
    <row r="15" ht="52.119815826416016" customHeight="1">
      <c r="A15"/>
      <c r="B15"/>
      <c r="C15"/>
      <c r="D15"/>
      <c r="E15"/>
      <c r="F15"/>
      <c r="G15"/>
      <c r="H15"/>
      <c r="I15"/>
    </row>
    <row r="16" ht="42.818180084228516" customHeight="1">
      <c r="A16"/>
      <c r="B16"/>
      <c r="C16"/>
      <c r="D16"/>
      <c r="E16"/>
      <c r="F16"/>
      <c r="G16"/>
      <c r="H16"/>
      <c r="I16"/>
    </row>
    <row r="17">
      <c r="A17"/>
    </row>
    <row r="18">
      <c r="A18"/>
    </row>
    <row r="19">
      <c r="A19"/>
    </row>
    <row r="20">
      <c r="A20"/>
    </row>
    <row r="21">
      <c r="A21"/>
    </row>
    <row r="22">
      <c r="A22"/>
    </row>
    <row r="23">
      <c r="A23"/>
    </row>
    <row r="24">
      <c r="A24"/>
    </row>
    <row r="25">
      <c r="A25"/>
    </row>
    <row r="26">
      <c r="A26"/>
    </row>
    <row r="27">
      <c r="A27"/>
    </row>
    <row r="28">
      <c r="A28"/>
    </row>
    <row r="29">
      <c r="A29"/>
    </row>
    <row r="30">
      <c r="A30"/>
    </row>
    <row r="31">
      <c r="A31" s="356"/>
    </row>
    <row r="32">
      <c r="A32" s="356"/>
    </row>
    <row r="33">
      <c r="A33" s="356"/>
    </row>
    <row r="34">
      <c r="A34" s="356"/>
    </row>
    <row r="35">
      <c r="A35" s="356"/>
    </row>
    <row r="36">
      <c r="A36" s="356"/>
    </row>
    <row r="37">
      <c r="A37" s="356"/>
    </row>
    <row r="38">
      <c r="A38" s="356"/>
    </row>
    <row r="39">
      <c r="A39" s="356"/>
    </row>
    <row r="40">
      <c r="A40" s="356"/>
    </row>
    <row r="41">
      <c r="A41" s="356"/>
    </row>
    <row r="42">
      <c r="A42" s="356"/>
    </row>
    <row r="43">
      <c r="A43" s="356"/>
    </row>
    <row r="44">
      <c r="A44" s="356"/>
    </row>
    <row r="45">
      <c r="A45" s="356"/>
    </row>
    <row r="46">
      <c r="A46" s="356"/>
    </row>
    <row r="47">
      <c r="A47" s="356"/>
    </row>
    <row r="48">
      <c r="A48" s="356"/>
    </row>
    <row r="49">
      <c r="A49" s="356"/>
    </row>
    <row r="50">
      <c r="A50" s="356"/>
    </row>
    <row r="51">
      <c r="A51" s="356"/>
    </row>
    <row r="52">
      <c r="A52" s="356"/>
    </row>
    <row r="53">
      <c r="A53" s="356"/>
    </row>
    <row r="54">
      <c r="A54" s="356"/>
    </row>
    <row r="55">
      <c r="A55" s="356"/>
    </row>
    <row r="56">
      <c r="A56" s="356"/>
    </row>
    <row r="57">
      <c r="A57" s="356"/>
    </row>
    <row r="58">
      <c r="A58" s="356"/>
    </row>
    <row r="59">
      <c r="A59" s="356"/>
    </row>
    <row r="60">
      <c r="A60" s="356"/>
    </row>
    <row r="61">
      <c r="A61" s="356"/>
    </row>
    <row r="62">
      <c r="A62" s="356"/>
    </row>
    <row r="63">
      <c r="A63" s="356"/>
    </row>
    <row r="64">
      <c r="A64" s="356"/>
    </row>
    <row r="65">
      <c r="A65" s="356"/>
    </row>
    <row r="66">
      <c r="A66" s="356"/>
    </row>
    <row r="67">
      <c r="A67" s="356"/>
    </row>
    <row r="68">
      <c r="A68" s="356"/>
    </row>
    <row r="69">
      <c r="A69" s="356"/>
    </row>
    <row r="70">
      <c r="A70" s="356"/>
    </row>
    <row r="71">
      <c r="A71" s="356"/>
    </row>
    <row r="72">
      <c r="A72" s="356"/>
    </row>
    <row r="73">
      <c r="A73" s="356"/>
    </row>
    <row r="74">
      <c r="A74" s="356"/>
    </row>
    <row r="75">
      <c r="A75" s="356"/>
    </row>
    <row r="76">
      <c r="A76" s="356"/>
    </row>
    <row r="77">
      <c r="A77" s="356"/>
    </row>
    <row r="78">
      <c r="A78" s="356"/>
    </row>
    <row r="79">
      <c r="A79" s="356"/>
    </row>
    <row r="80">
      <c r="A80" s="356"/>
    </row>
    <row r="81">
      <c r="A81" s="356"/>
    </row>
    <row r="82">
      <c r="A82" s="356"/>
    </row>
    <row r="83">
      <c r="A83" s="356"/>
    </row>
    <row r="84">
      <c r="A84" s="356"/>
    </row>
    <row r="85">
      <c r="A85" s="356"/>
    </row>
    <row r="86">
      <c r="A86" s="356"/>
    </row>
    <row r="87">
      <c r="A87" s="356"/>
    </row>
    <row r="88">
      <c r="A88" s="356"/>
    </row>
    <row r="89">
      <c r="A89" s="356"/>
    </row>
    <row r="90">
      <c r="A90" s="356"/>
    </row>
    <row r="91">
      <c r="A91" s="356"/>
    </row>
    <row r="92">
      <c r="A92" s="356"/>
    </row>
    <row r="93">
      <c r="A93" s="356"/>
    </row>
    <row r="94">
      <c r="A94" s="356"/>
    </row>
    <row r="95">
      <c r="A95" s="356"/>
    </row>
    <row r="96">
      <c r="A96" s="356"/>
    </row>
    <row r="97">
      <c r="A97" s="356"/>
    </row>
    <row r="98">
      <c r="A98" s="356"/>
    </row>
    <row r="99">
      <c r="A99" s="356"/>
    </row>
    <row r="100">
      <c r="A100" s="356"/>
    </row>
    <row r="101">
      <c r="A101" s="356"/>
    </row>
    <row r="102">
      <c r="A102" s="356"/>
    </row>
    <row r="103">
      <c r="A103" s="356"/>
    </row>
    <row r="104">
      <c r="A104" s="356"/>
    </row>
    <row r="105">
      <c r="A105" s="356"/>
    </row>
    <row r="106">
      <c r="A106" s="356"/>
    </row>
    <row r="107">
      <c r="A107" s="356"/>
    </row>
    <row r="108">
      <c r="A108" s="356"/>
    </row>
    <row r="109">
      <c r="A109" s="356"/>
    </row>
    <row r="110">
      <c r="A110" s="356"/>
    </row>
    <row r="111">
      <c r="A111" s="356"/>
    </row>
    <row r="112">
      <c r="A112" s="356"/>
    </row>
    <row r="113">
      <c r="A113" s="356"/>
    </row>
    <row r="114">
      <c r="A114" s="356"/>
    </row>
    <row r="115">
      <c r="A115" s="356"/>
    </row>
    <row r="116">
      <c r="A116" s="356"/>
    </row>
    <row r="117">
      <c r="A117" s="356"/>
    </row>
    <row r="118">
      <c r="A118" s="356"/>
    </row>
    <row r="119">
      <c r="A119" s="356"/>
    </row>
    <row r="120">
      <c r="A120" s="356"/>
    </row>
    <row r="121">
      <c r="A121" s="356"/>
    </row>
    <row r="122">
      <c r="A122" s="356"/>
    </row>
    <row r="123">
      <c r="A123" s="356"/>
    </row>
    <row r="124">
      <c r="A124" s="356"/>
    </row>
    <row r="125">
      <c r="A125" s="356"/>
    </row>
    <row r="126">
      <c r="A126" s="356"/>
    </row>
    <row r="127">
      <c r="A127" s="356"/>
    </row>
    <row r="128">
      <c r="A128" s="356"/>
    </row>
    <row r="129">
      <c r="A129" s="356"/>
    </row>
    <row r="130">
      <c r="A130" s="356"/>
    </row>
    <row r="131">
      <c r="A131" s="356"/>
    </row>
    <row r="132">
      <c r="A132" s="356"/>
    </row>
    <row r="133">
      <c r="A133" s="356"/>
    </row>
    <row r="134">
      <c r="A134" s="356"/>
    </row>
    <row r="135">
      <c r="A135" s="356"/>
    </row>
    <row r="136">
      <c r="A136" s="356"/>
    </row>
    <row r="137">
      <c r="A137" s="356"/>
    </row>
    <row r="138">
      <c r="A138" s="356"/>
    </row>
    <row r="139">
      <c r="A139" s="356"/>
    </row>
    <row r="140">
      <c r="A140" s="356"/>
    </row>
    <row r="141">
      <c r="A141" s="356"/>
    </row>
    <row r="142">
      <c r="A142" s="356"/>
    </row>
    <row r="143">
      <c r="A143" s="356"/>
    </row>
    <row r="144">
      <c r="A144" s="356"/>
    </row>
    <row r="145">
      <c r="A145" s="356"/>
    </row>
    <row r="146">
      <c r="A146" s="356"/>
    </row>
    <row r="147">
      <c r="A147" s="356"/>
    </row>
    <row r="148">
      <c r="A148" s="356"/>
    </row>
    <row r="149">
      <c r="A149" s="356"/>
    </row>
    <row r="150">
      <c r="A150" s="356"/>
    </row>
    <row r="151">
      <c r="A151" s="356"/>
    </row>
    <row r="152">
      <c r="A152" s="356"/>
    </row>
    <row r="153">
      <c r="A153" s="356"/>
    </row>
    <row r="154">
      <c r="A154" s="356"/>
    </row>
    <row r="155">
      <c r="A155" s="356"/>
    </row>
    <row r="156">
      <c r="A156" s="356"/>
    </row>
    <row r="157">
      <c r="A157" s="356"/>
    </row>
    <row r="158">
      <c r="A158" s="356"/>
    </row>
    <row r="159">
      <c r="A159" s="356"/>
    </row>
    <row r="160">
      <c r="A160" s="356"/>
    </row>
    <row r="161">
      <c r="A161" s="356"/>
    </row>
    <row r="162">
      <c r="A162" s="356"/>
    </row>
    <row r="163">
      <c r="A163" s="356"/>
    </row>
    <row r="164">
      <c r="A164" s="356"/>
    </row>
    <row r="165">
      <c r="A165" s="356"/>
    </row>
    <row r="166">
      <c r="A166" s="356"/>
    </row>
    <row r="167">
      <c r="A167" s="356"/>
    </row>
    <row r="168">
      <c r="A168" s="356"/>
    </row>
    <row r="169">
      <c r="A169" s="356"/>
    </row>
    <row r="170">
      <c r="A170" s="356"/>
    </row>
    <row r="171">
      <c r="A171" s="356"/>
    </row>
    <row r="172">
      <c r="A172" s="356"/>
    </row>
    <row r="173">
      <c r="A173" s="356"/>
    </row>
    <row r="174">
      <c r="A174" s="356"/>
    </row>
    <row r="175">
      <c r="A175" s="356"/>
    </row>
    <row r="176">
      <c r="A176" s="356"/>
    </row>
    <row r="177">
      <c r="A177" s="356"/>
    </row>
    <row r="178">
      <c r="A178" s="356"/>
    </row>
    <row r="179">
      <c r="A179" s="356"/>
    </row>
    <row r="180">
      <c r="A180" s="356"/>
    </row>
    <row r="181">
      <c r="A181" s="356"/>
    </row>
    <row r="182">
      <c r="A182" s="356"/>
    </row>
    <row r="183">
      <c r="A183" s="356"/>
    </row>
    <row r="184">
      <c r="A184" s="356"/>
    </row>
    <row r="185">
      <c r="A185" s="356"/>
    </row>
    <row r="186">
      <c r="A186" s="356"/>
    </row>
    <row r="187">
      <c r="A187" s="356"/>
    </row>
    <row r="188">
      <c r="A188" s="356"/>
    </row>
    <row r="189">
      <c r="A189" s="356"/>
    </row>
    <row r="190">
      <c r="A190" s="356"/>
    </row>
    <row r="191">
      <c r="A191" s="356"/>
    </row>
    <row r="192">
      <c r="A192" s="356"/>
    </row>
    <row r="193">
      <c r="A193" s="356"/>
    </row>
    <row r="194">
      <c r="A194" s="356"/>
    </row>
    <row r="195">
      <c r="A195" s="356"/>
    </row>
    <row r="196">
      <c r="A196" s="356"/>
    </row>
    <row r="197">
      <c r="A197" s="356"/>
    </row>
    <row r="198">
      <c r="A198" s="356"/>
    </row>
    <row r="199">
      <c r="A199" s="356"/>
    </row>
    <row r="200">
      <c r="A200" s="356"/>
    </row>
    <row r="201">
      <c r="A201" s="356"/>
    </row>
  </sheetData>
  <mergeCells>
    <mergeCell ref="A1:M1"/>
  </mergeCells>
  <pageMargins left="0.7" right="0.7" top="0.75" bottom="0.75" header="0.3" footer="0.3"/>
</worksheet>
</file>

<file path=xl/worksheets/sheet7.xml><?xml version="1.0" encoding="utf-8"?>
<x:worksheet xmlns:x="http://schemas.openxmlformats.org/spreadsheetml/2006/main">
  <x:sheetViews>
    <x:sheetView showGridLines="0"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v> </x:v>
      </x:c>
      <x:c r="B1" s="357" t="str">
        <x:v>Vị trí</x:v>
      </x:c>
      <x:c r="C1" s="357" t="str">
        <x:v>JD</x:v>
      </x:c>
      <x:c r="D1" s="357" t="str">
        <x:v>Số lượng</x:v>
      </x:c>
      <x:c r="E1" s="357" t="str">
        <x:v>Ngày OB</x:v>
      </x:c>
      <x:c r="F1" s="358" t="str">
        <x:v>Lương cứng gross (điền)</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GTM / Marketing Lead</x:v>
      </x:c>
      <x:c r="C2" s="363" t="str">
        <x:v>ICP, test plan, message, channel, weekly review</x:v>
      </x:c>
      <x:c r="D2" s="364" t="n">
        <x:v>1</x:v>
      </x:c>
      <x:c r="E2" s="516" t="d">
        <x:v>2026-10-01T00:00:00.000Z</x:v>
      </x:c>
      <x:c r="F2" s="517" t="str"/>
      <x:c r="G2" s="518" t="str"/>
      <x:c r="H2" s="517" t="str"/>
      <x:c r="I2" s="517" t="str"/>
      <x:c r="J2" s="517" t="str"/>
      <x:c r="K2" s="517" t="str"/>
      <x:c r="L2" s="517" t="str"/>
      <x:c r="M2" s="487" t="str"/>
      <x:c r="N2" s="519" t="str"/>
      <x:c r="O2" s="520" t="str"/>
      <x:c r="P2" s="370" t="str"/>
      <x:c r="Q2" s="370" t="str"/>
      <x:c r="R2" s="371" t="str"/>
      <x:c r="S2" s="370" t="str"/>
      <x:c r="T2" s="372"/>
    </x:row>
    <x:row r="3" ht="23.809524536132812" customHeight="1">
      <x:c r="A3" s="363" t="n">
        <x:v>2</x:v>
      </x:c>
      <x:c r="B3" s="363" t="str">
        <x:v>Content / Video</x:v>
      </x:c>
      <x:c r="C3" s="363" t="str">
        <x:v>Content, demo, tutorial và tái sử dụng đa kênh</x:v>
      </x:c>
      <x:c r="D3" s="364" t="n">
        <x:v>1</x:v>
      </x:c>
      <x:c r="E3" s="516" t="d">
        <x:v>2026-10-01T00:00:00.000Z</x:v>
      </x:c>
      <x:c r="F3" s="517" t="str"/>
      <x:c r="G3" s="521" t="str"/>
      <x:c r="H3" s="517" t="str"/>
      <x:c r="I3" s="519" t="str"/>
      <x:c r="J3" s="519" t="str"/>
      <x:c r="K3" s="517" t="str"/>
      <x:c r="L3" s="518" t="str"/>
      <x:c r="M3" s="519" t="str"/>
      <x:c r="N3" s="519" t="str"/>
      <x:c r="O3" s="522" t="str"/>
      <x:c r="P3" s="377" t="str"/>
      <x:c r="Q3" s="368" t="str"/>
      <x:c r="R3" s="371" t="str"/>
      <x:c r="S3" s="363" t="str"/>
      <x:c r="T3" s="372"/>
      <x:c r="W3" s="378"/>
    </x:row>
    <x:row r="4" ht="23.809524536132812" customHeight="1">
      <x:c r="A4" s="363" t="n">
        <x:v>3</x:v>
      </x:c>
      <x:c r="B4" s="363" t="str">
        <x:v>Community / Intern</x:v>
      </x:c>
      <x:c r="C4" s="363" t="str">
        <x:v>Kho nguồn, seeding, log tín hiệu và quy định nhóm</x:v>
      </x:c>
      <x:c r="D4" s="364" t="n">
        <x:v>2</x:v>
      </x:c>
      <x:c r="E4" s="516" t="d">
        <x:v>2026-10-01T00:00:00.000Z</x:v>
      </x:c>
      <x:c r="F4" s="517" t="str"/>
      <x:c r="G4" s="521" t="str"/>
      <x:c r="H4" s="517" t="str"/>
      <x:c r="I4" s="523" t="str"/>
      <x:c r="J4" s="523" t="str"/>
      <x:c r="K4" s="524" t="str"/>
      <x:c r="L4" s="518" t="str"/>
      <x:c r="M4" s="523" t="str"/>
      <x:c r="N4" s="519" t="str"/>
      <x:c r="O4" s="522" t="str"/>
      <x:c r="P4" s="360" t="str"/>
      <x:c r="Q4" s="382" t="str"/>
      <x:c r="R4" s="363" t="str"/>
      <x:c r="S4" s="363" t="str"/>
    </x:row>
    <x:row r="5" ht="23.809524536132812" customHeight="1">
      <x:c r="A5" s="363" t="n">
        <x:v>4</x:v>
      </x:c>
      <x:c r="B5" s="363" t="str">
        <x:v>Sales / CS</x:v>
      </x:c>
      <x:c r="C5" s="363" t="str">
        <x:v>Follow-up, qualify, objection, paid và revenue</x:v>
      </x:c>
      <x:c r="D5" s="364" t="n">
        <x:v>1</x:v>
      </x:c>
      <x:c r="E5" s="516" t="d">
        <x:v>2026-10-15T00:00:00.000Z</x:v>
      </x:c>
      <x:c r="F5" s="517" t="str"/>
      <x:c r="G5" s="521" t="str"/>
      <x:c r="H5" s="517" t="str"/>
      <x:c r="I5" s="519" t="str"/>
      <x:c r="J5" s="519" t="str"/>
      <x:c r="K5" s="517" t="str"/>
      <x:c r="L5" s="518" t="str"/>
      <x:c r="M5" s="519" t="str"/>
      <x:c r="N5" s="519" t="str"/>
      <x:c r="O5" s="522" t="str"/>
      <x:c r="P5" s="360" t="str"/>
      <x:c r="Q5" s="382" t="str"/>
      <x:c r="R5" s="363" t="str"/>
      <x:c r="S5" s="363" t="str"/>
    </x:row>
    <x:row r="6" ht="23.809524536132812" customHeight="1">
      <x:c r="A6" s="363" t="n">
        <x:v>5</x:v>
      </x:c>
      <x:c r="B6" s="363" t="str">
        <x:v>Product / Analytics</x:v>
      </x:c>
      <x:c r="C6" s="363" t="str">
        <x:v>Activation, D7, blocker, feedback và prioritization</x:v>
      </x:c>
      <x:c r="D6" s="364" t="n">
        <x:v>1</x:v>
      </x:c>
      <x:c r="E6" s="516" t="d">
        <x:v>2026-10-15T00:00:00.000Z</x:v>
      </x:c>
      <x:c r="F6" s="517" t="str"/>
      <x:c r="G6" s="521" t="str"/>
      <x:c r="H6" s="517" t="str"/>
      <x:c r="I6" s="519" t="str"/>
      <x:c r="J6" s="519" t="str"/>
      <x:c r="K6" s="517" t="str"/>
      <x:c r="L6" s="518" t="str"/>
      <x:c r="M6" s="519" t="str"/>
      <x:c r="N6" s="519" t="str"/>
      <x:c r="O6" s="522" t="str"/>
      <x:c r="P6" s="360" t="str"/>
      <x:c r="Q6" s="382" t="str"/>
      <x:c r="R6" s="363" t="str"/>
      <x:c r="S6" s="363" t="str"/>
      <x:c r="T6" s="372"/>
    </x:row>
    <x:row r="7" ht="23.809524536132812" customHeight="1">
      <x:c r="A7" s="363" t="n">
        <x:v>6</x:v>
      </x:c>
      <x:c r="B7" s="383" t="str">
        <x:v>Product / Engineering</x:v>
      </x:c>
      <x:c r="C7" s="363" t="str">
        <x:v>Sửa blocker và phát triển capability theo pain lặp</x:v>
      </x:c>
      <x:c r="D7" s="364" t="str">
        <x:v>Theo nguồn lực</x:v>
      </x:c>
      <x:c r="E7" s="516" t="d">
        <x:v>2026-10-01T00:00:00.000Z</x:v>
      </x:c>
      <x:c r="F7" s="517" t="str"/>
      <x:c r="G7" s="521" t="str"/>
      <x:c r="H7" s="517" t="str"/>
      <x:c r="I7" s="523" t="str"/>
      <x:c r="J7" s="519" t="str"/>
      <x:c r="K7" s="517" t="str"/>
      <x:c r="L7" s="518" t="str"/>
      <x:c r="M7" s="523" t="str"/>
      <x:c r="N7" s="519" t="str"/>
      <x:c r="O7" s="522" t="str"/>
      <x:c r="P7" s="360" t="str"/>
      <x:c r="Q7" s="382" t="str"/>
      <x:c r="R7" s="363" t="str"/>
      <x:c r="S7" s="363" t="str"/>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t="str">
        <x:v>Tổng cộng</x:v>
      </x:c>
      <x:c r="B9" s="389" t="str">
        <x:v>Tổng cộng</x:v>
      </x:c>
      <x:c r="C9" s="389" t="str">
        <x:v>Tổng cộng</x:v>
      </x:c>
      <x:c r="D9" s="390" t="n">
        <x:f>SUM(D2:D7)</x:f>
        <x:v>6</x:v>
      </x:c>
      <x:c r="E9" s="391"/>
      <x:c r="F9" s="392" t="n">
        <x:f>SUM(F2:F7)</x:f>
        <x:v>0</x:v>
      </x:c>
      <x:c r="G9" s="390"/>
      <x:c r="H9" s="392"/>
      <x:c r="I9" s="392" t="n">
        <x:f>SUM(I2:I7)</x:f>
        <x:v>0</x:v>
      </x:c>
      <x:c r="J9" s="390" t="n">
        <x:f>SUM(J2:J7)</x:f>
        <x:v>0</x:v>
      </x:c>
      <x:c r="K9" s="390" t="n">
        <x:f>SUM(K2:K7)</x:f>
        <x:v>0</x:v>
      </x:c>
      <x:c r="L9" s="390" t="n">
        <x:f>SUM(L2:L7)</x:f>
        <x:v>0</x:v>
      </x:c>
      <x:c r="M9" s="390" t="n">
        <x:f>SUM(M2:M7)</x:f>
        <x:v>0</x:v>
      </x:c>
      <x:c r="N9" s="368" t="n">
        <x:f>L9+M9</x:f>
        <x:v>0</x:v>
      </x:c>
      <x:c r="O9" s="393" t="n">
        <x:f>SUM(O2:O7)</x:f>
        <x:v>0</x:v>
      </x:c>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t="str">
        <x:v>Nguyên tắc đề xuất: KPI thưởng gắn với dữ liệu có thể kiểm chứng theo vai trò. GTM/Content/Community ưu tiên activation, D7, hội thoại chất lượng và learning; Sales ưu tiên qualified opportunity, paid và revenue; Product ưu tiên giảm blocker và cải thiện activation/retention.</x:v>
      </x:c>
    </x:row>
  </x:sheetData>
  <x:mergeCells>
    <x:mergeCell ref="A9:C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6"/>
  <x:cols>
    <x:col min="1" max="1" width="12" hidden="0" customWidth="1"/>
    <x:col min="2" max="2" width="18" hidden="0" customWidth="1"/>
    <x:col min="3" max="3" width="30" hidden="0" customWidth="1"/>
    <x:col min="4" max="4" width="35" hidden="0" customWidth="1"/>
    <x:col min="5" max="5" width="38"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8" hidden="0" customWidth="1"/>
  </x:cols>
  <x:sheetData>
    <x:row r="1">
      <x:c r="A1" s="526" t="str">
        <x:v>BẢN ĐỒ ĐỐI THỦ INViBROWSER</x:v>
      </x:c>
      <x:c r="B1" s="526"/>
      <x:c r="C1" s="526"/>
      <x:c r="D1" s="526"/>
      <x:c r="E1" s="526"/>
      <x:c r="F1" s="526"/>
      <x:c r="G1" s="526"/>
      <x:c r="H1" s="526"/>
      <x:c r="I1" s="526"/>
      <x:c r="J1" s="526"/>
      <x:c r="K1" s="526"/>
      <x:c r="L1" s="526"/>
    </x:row>
    <x:row r="3">
      <x:c r="A3" s="531" t="str">
        <x:v>Tier</x:v>
      </x:c>
      <x:c r="B3" s="531" t="str">
        <x:v>Đối thủ</x:v>
      </x:c>
      <x:c r="C3" s="531" t="str">
        <x:v>Điểm mạnh</x:v>
      </x:c>
      <x:c r="D3" s="531" t="str">
        <x:v>Vì sao đáng chú ý</x:v>
      </x:c>
      <x:c r="E3" s="531" t="str">
        <x:v>Hàm ý cho InviBrowser</x:v>
      </x:c>
      <x:c r="F3" s="531" t="str">
        <x:v>Profile/Value</x:v>
      </x:c>
      <x:c r="G3" s="531" t="str">
        <x:v>Team</x:v>
      </x:c>
      <x:c r="H3" s="531" t="str">
        <x:v>Automation</x:v>
      </x:c>
      <x:c r="I3" s="531" t="str">
        <x:v>Migration</x:v>
      </x:c>
      <x:c r="J3" s="531" t="str">
        <x:v>Ecosystem</x:v>
      </x:c>
      <x:c r="K3" s="531" t="str">
        <x:v>Cloud</x:v>
      </x:c>
      <x:c r="L3" s="531" t="str">
        <x:v>Bằng chứng</x:v>
      </x:c>
    </x:row>
    <x:row r="4" ht="58" customHeight="1">
      <x:c r="A4" s="512" t="str">
        <x:v>Tier 1</x:v>
      </x:c>
      <x:c r="B4" s="512" t="str">
        <x:v>GPM Login</x:v>
      </x:c>
      <x:c r="C4" s="512" t="str">
        <x:v>Volume profile, lifetime, local distribution</x:v>
      </x:c>
      <x:c r="D4" s="512" t="str">
        <x:v>Thương hiệu quen tại VN và value perception mạnh</x:v>
      </x:c>
      <x:c r="E4" s="512" t="str">
        <x:v>Không đấu bằng số profile giá rẻ</x:v>
      </x:c>
      <x:c r="F4" s="512" t="str">
        <x:v>Mạnh</x:v>
      </x:c>
      <x:c r="G4" s="512" t="str">
        <x:v>TB</x:v>
      </x:c>
      <x:c r="H4" s="512" t="str">
        <x:v>TB</x:v>
      </x:c>
      <x:c r="I4" s="512" t="str">
        <x:v>TB</x:v>
      </x:c>
      <x:c r="J4" s="512" t="str">
        <x:v>TB</x:v>
      </x:c>
      <x:c r="K4" s="512" t="str">
        <x:v>Thấp</x:v>
      </x:c>
      <x:c r="L4" s="512" t="str">
        <x:v>Có tín hiệu rõ</x:v>
      </x:c>
    </x:row>
    <x:row r="5" ht="58" customHeight="1">
      <x:c r="A5" s="512" t="str">
        <x:v>Tier 1</x:v>
      </x:c>
      <x:c r="B5" s="512" t="str">
        <x:v>AdsPower</x:v>
      </x:c>
      <x:c r="C5" s="512" t="str">
        <x:v>Team, permission, RPA, API, migration</x:v>
      </x:c>
      <x:c r="D5" s="512" t="str">
        <x:v>Workflow team tạo switching cost cao</x:v>
      </x:c>
      <x:c r="E5" s="512" t="str">
        <x:v>Không lấy agency dùng sâu làm beachhead</x:v>
      </x:c>
      <x:c r="F5" s="512" t="str">
        <x:v>Mạnh</x:v>
      </x:c>
      <x:c r="G5" s="512" t="str">
        <x:v>Rất mạnh</x:v>
      </x:c>
      <x:c r="H5" s="512" t="str">
        <x:v>Rất mạnh</x:v>
      </x:c>
      <x:c r="I5" s="512" t="str">
        <x:v>Mạnh</x:v>
      </x:c>
      <x:c r="J5" s="512" t="str">
        <x:v>Mạnh</x:v>
      </x:c>
      <x:c r="K5" s="512" t="str">
        <x:v>Mạnh</x:v>
      </x:c>
      <x:c r="L5" s="512" t="str">
        <x:v>Có bằng chứng</x:v>
      </x:c>
    </x:row>
    <x:row r="6" ht="58" customHeight="1">
      <x:c r="A6" s="512" t="str">
        <x:v>Tier 1</x:v>
      </x:c>
      <x:c r="B6" s="512" t="str">
        <x:v>GenLogin</x:v>
      </x:c>
      <x:c r="C6" s="512" t="str">
        <x:v>Automation/no-code, Sync, mini-app</x:v>
      </x:c>
      <x:c r="D6" s="512" t="str">
        <x:v>Hấp dẫn Seeding/Affiliate muốn tự động hóa</x:v>
      </x:c>
      <x:c r="E6" s="512" t="str">
        <x:v>Bulk/Sync/Automation không đủ làm USP</x:v>
      </x:c>
      <x:c r="F6" s="512" t="str">
        <x:v>Mạnh</x:v>
      </x:c>
      <x:c r="G6" s="512" t="str">
        <x:v>Mạnh</x:v>
      </x:c>
      <x:c r="H6" s="512" t="str">
        <x:v>Rất mạnh</x:v>
      </x:c>
      <x:c r="I6" s="512" t="str">
        <x:v>TB</x:v>
      </x:c>
      <x:c r="J6" s="512" t="str">
        <x:v>Mạnh</x:v>
      </x:c>
      <x:c r="K6" s="512" t="str">
        <x:v>TB</x:v>
      </x:c>
      <x:c r="L6" s="512" t="str">
        <x:v>Có bằng chứng</x:v>
      </x:c>
    </x:row>
    <x:row r="7" ht="58" customHeight="1">
      <x:c r="A7" s="512" t="str">
        <x:v>Tier 1</x:v>
      </x:c>
      <x:c r="B7" s="512" t="str">
        <x:v>Hidemyacc</x:v>
      </x:c>
      <x:c r="C7" s="512" t="str">
        <x:v>Share, transfer, backup, session sync</x:v>
      </x:c>
      <x:c r="D7" s="512" t="str">
        <x:v>Giảm rủi ro bàn giao và đổi máy/tool</x:v>
      </x:c>
      <x:c r="E7" s="512" t="str">
        <x:v>Phải benchmark portability trước khi claim</x:v>
      </x:c>
      <x:c r="F7" s="512" t="str">
        <x:v>Mạnh</x:v>
      </x:c>
      <x:c r="G7" s="512" t="str">
        <x:v>Mạnh</x:v>
      </x:c>
      <x:c r="H7" s="512" t="str">
        <x:v>Mạnh</x:v>
      </x:c>
      <x:c r="I7" s="512" t="str">
        <x:v>Rất mạnh</x:v>
      </x:c>
      <x:c r="J7" s="512" t="str">
        <x:v>TB</x:v>
      </x:c>
      <x:c r="K7" s="512" t="str">
        <x:v>TB</x:v>
      </x:c>
      <x:c r="L7" s="512" t="str">
        <x:v>Có bằng chứng</x:v>
      </x:c>
    </x:row>
    <x:row r="8" ht="58" customHeight="1">
      <x:c r="A8" s="512" t="str">
        <x:v>Tier 2</x:v>
      </x:c>
      <x:c r="B8" s="512" t="str">
        <x:v>GemLogin</x:v>
      </x:c>
      <x:c r="C8" s="512" t="str">
        <x:v>GemStore / ecosystem automation</x:v>
      </x:c>
      <x:c r="D8" s="512" t="str">
        <x:v>Marketplace tạo value và lock-in</x:v>
      </x:c>
      <x:c r="E8" s="512" t="str">
        <x:v>Theo dõi ecosystem gap</x:v>
      </x:c>
      <x:c r="F8" s="512" t="str">
        <x:v>Mạnh</x:v>
      </x:c>
      <x:c r="G8" s="512" t="str">
        <x:v>TB</x:v>
      </x:c>
      <x:c r="H8" s="512" t="str">
        <x:v>Mạnh</x:v>
      </x:c>
      <x:c r="I8" s="512" t="str">
        <x:v>TB</x:v>
      </x:c>
      <x:c r="J8" s="512" t="str">
        <x:v>Rất mạnh</x:v>
      </x:c>
      <x:c r="K8" s="512" t="str">
        <x:v>TB</x:v>
      </x:c>
      <x:c r="L8" s="512" t="str">
        <x:v>Có bằng chứng</x:v>
      </x:c>
    </x:row>
    <x:row r="9" ht="58" customHeight="1">
      <x:c r="A9" s="512" t="str">
        <x:v>Tier 2</x:v>
      </x:c>
      <x:c r="B9" s="512" t="str">
        <x:v>Hidemium</x:v>
      </x:c>
      <x:c r="C9" s="512" t="str">
        <x:v>Cấu hình sâu, API, automation</x:v>
      </x:c>
      <x:c r="D9" s="512" t="str">
        <x:v>Phù hợp operator kỹ thuật</x:v>
      </x:c>
      <x:c r="E9" s="512" t="str">
        <x:v>Không lao vào advanced technical sớm</x:v>
      </x:c>
      <x:c r="F9" s="512" t="str">
        <x:v>Mạnh</x:v>
      </x:c>
      <x:c r="G9" s="512" t="str">
        <x:v>Mạnh</x:v>
      </x:c>
      <x:c r="H9" s="512" t="str">
        <x:v>Rất mạnh</x:v>
      </x:c>
      <x:c r="I9" s="512" t="str">
        <x:v>TB</x:v>
      </x:c>
      <x:c r="J9" s="512" t="str">
        <x:v>TB</x:v>
      </x:c>
      <x:c r="K9" s="512" t="str">
        <x:v>TB</x:v>
      </x:c>
      <x:c r="L9" s="512" t="str">
        <x:v>Có tín hiệu</x:v>
      </x:c>
    </x:row>
    <x:row r="10" ht="58" customHeight="1">
      <x:c r="A10" s="512" t="str">
        <x:v>Tier 2</x:v>
      </x:c>
      <x:c r="B10" s="512" t="str">
        <x:v>GoLogin</x:v>
      </x:c>
      <x:c r="C10" s="512" t="str">
        <x:v>Cloud, web, cross-platform</x:v>
      </x:c>
      <x:c r="D10" s="512" t="str">
        <x:v>Phù hợp remote/team, giảm phụ thuộc Windows</x:v>
      </x:c>
      <x:c r="E10" s="512" t="str">
        <x:v>Windows-only là gap cần theo dõi</x:v>
      </x:c>
      <x:c r="F10" s="512" t="str">
        <x:v>Mạnh</x:v>
      </x:c>
      <x:c r="G10" s="512" t="str">
        <x:v>Mạnh</x:v>
      </x:c>
      <x:c r="H10" s="512" t="str">
        <x:v>Mạnh</x:v>
      </x:c>
      <x:c r="I10" s="512" t="str">
        <x:v>Mạnh</x:v>
      </x:c>
      <x:c r="J10" s="512" t="str">
        <x:v>TB</x:v>
      </x:c>
      <x:c r="K10" s="512" t="str">
        <x:v>Rất mạnh</x:v>
      </x:c>
      <x:c r="L10" s="512" t="str">
        <x:v>Có bằng chứng</x:v>
      </x:c>
    </x:row>
    <x:row r="11" ht="58" customHeight="1">
      <x:c r="A11" s="512" t="str">
        <x:v>Tier 2</x:v>
      </x:c>
      <x:c r="B11" s="512" t="str">
        <x:v>OmniLogin</x:v>
      </x:c>
      <x:c r="C11" s="512" t="str">
        <x:v>Browser + proxy + automation</x:v>
      </x:c>
      <x:c r="D11" s="512" t="str">
        <x:v>Integrated stack giảm nhu cầu ghép tool</x:v>
      </x:c>
      <x:c r="E11" s="512" t="str">
        <x:v>Verify depth trước khi so sánh</x:v>
      </x:c>
      <x:c r="F11" s="512" t="str">
        <x:v>Mạnh</x:v>
      </x:c>
      <x:c r="G11" s="512" t="str">
        <x:v>TB</x:v>
      </x:c>
      <x:c r="H11" s="512" t="str">
        <x:v>Mạnh</x:v>
      </x:c>
      <x:c r="I11" s="512" t="str">
        <x:v>TB</x:v>
      </x:c>
      <x:c r="J11" s="512" t="str">
        <x:v>TB</x:v>
      </x:c>
      <x:c r="K11" s="512" t="str">
        <x:v>TB</x:v>
      </x:c>
      <x:c r="L11" s="512" t="str">
        <x:v>Cần verify</x:v>
      </x:c>
    </x:row>
    <x:row r="12" ht="58" customHeight="1">
      <x:c r="A12" s="512" t="str">
        <x:v>Tier 3</x:v>
      </x:c>
      <x:c r="B12" s="512" t="str">
        <x:v>KikiLogin</x:v>
      </x:c>
      <x:c r="C12" s="512" t="str">
        <x:v>Feature breadth</x:v>
      </x:c>
      <x:c r="D12" s="512" t="str">
        <x:v>Product benchmark dù GTM VN chưa mạnh</x:v>
      </x:c>
      <x:c r="E12" s="512" t="str">
        <x:v>Giữ trong capability benchmark</x:v>
      </x:c>
      <x:c r="F12" s="512" t="str">
        <x:v>Mạnh</x:v>
      </x:c>
      <x:c r="G12" s="512" t="str">
        <x:v>Mạnh</x:v>
      </x:c>
      <x:c r="H12" s="512" t="str">
        <x:v>Mạnh</x:v>
      </x:c>
      <x:c r="I12" s="512" t="str">
        <x:v>TB</x:v>
      </x:c>
      <x:c r="J12" s="512" t="str">
        <x:v>TB</x:v>
      </x:c>
      <x:c r="K12" s="512" t="str">
        <x:v>TB</x:v>
      </x:c>
      <x:c r="L12" s="512" t="str">
        <x:v>Cần verify</x:v>
      </x:c>
    </x:row>
    <x:row r="13" ht="58" customHeight="1">
      <x:c r="A13" s="512" t="str">
        <x:v>Substitute</x:v>
      </x:c>
      <x:c r="B13" s="512" t="str">
        <x:v>Chrome / manual</x:v>
      </x:c>
      <x:c r="C13" s="512" t="str">
        <x:v>Miễn phí, quen thuộc, không cần đổi thói quen</x:v>
      </x:c>
      <x:c r="D13" s="512" t="str">
        <x:v>Trạng thái hiện tại của nhiều user P1</x:v>
      </x:c>
      <x:c r="E13" s="512" t="str">
        <x:v>Wedge chính: manual → structured system</x:v>
      </x:c>
      <x:c r="F13" s="512" t="str">
        <x:v>Thấp</x:v>
      </x:c>
      <x:c r="G13" s="512" t="str">
        <x:v>Thấp</x:v>
      </x:c>
      <x:c r="H13" s="512" t="str">
        <x:v>Thấp</x:v>
      </x:c>
      <x:c r="I13" s="512" t="str">
        <x:v>Thấp</x:v>
      </x:c>
      <x:c r="J13" s="512" t="str">
        <x:v>Thấp</x:v>
      </x:c>
      <x:c r="K13" s="512" t="str">
        <x:v>TB</x:v>
      </x:c>
      <x:c r="L13" s="512" t="str">
        <x:v>Quan sát thị trường</x:v>
      </x:c>
    </x:row>
  </x:sheetData>
  <x:mergeCells>
    <x:mergeCell ref="A1:L1"/>
  </x:mergeCells>
  <x:pageMargins left="0.7" right="0.7" top="0.75" bottom="0.75" header="0.3" footer="0.3"/>
  <x:drawing xmlns:r="http://schemas.openxmlformats.org/officeDocument/2006/relationships" r:id="Rf91229f4a70a4923"/>
</x:worksheet>
</file>

<file path=xl/worksheets/sheet9.xml><?xml version="1.0" encoding="utf-8"?>
<x:worksheet xmlns:x="http://schemas.openxmlformats.org/spreadsheetml/2006/main">
  <x:sheetViews>
    <x:sheetView showGridLines="0" workbookViewId="0">
      <x:pane xSplit="8" ySplit="2" topLeftCell="I3" activePane="bottomRight" state="frozen"/>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532" t="d">
        <x:v>2026-10-12T00:00:00.000Z</x:v>
      </x:c>
      <x:c r="J2" s="532" t="n">
        <x:f>I2+1</x:f>
        <x:v>46308</x:v>
      </x:c>
      <x:c r="K2" s="532" t="n">
        <x:f>J2+1</x:f>
        <x:v>46309</x:v>
      </x:c>
      <x:c r="L2" s="532" t="n">
        <x:f>K2+1</x:f>
        <x:v>46310</x:v>
      </x:c>
      <x:c r="M2" s="532" t="n">
        <x:f>L2+1</x:f>
        <x:v>46311</x:v>
      </x:c>
      <x:c r="N2" s="532" t="n">
        <x:f>M2+1</x:f>
        <x:v>46312</x:v>
      </x:c>
      <x:c r="O2" s="532" t="n">
        <x:f>N2+1</x:f>
        <x:v>46313</x:v>
      </x:c>
      <x:c r="P2" s="532" t="n">
        <x:f>O2+1</x:f>
        <x:v>46314</x:v>
      </x:c>
      <x:c r="Q2" s="532" t="n">
        <x:f>P2+1</x:f>
        <x:v>46315</x:v>
      </x:c>
      <x:c r="R2" s="532" t="n">
        <x:f>Q2+1</x:f>
        <x:v>46316</x:v>
      </x:c>
      <x:c r="S2" s="532" t="n">
        <x:f>R2+1</x:f>
        <x:v>46317</x:v>
      </x:c>
      <x:c r="T2" s="532" t="n">
        <x:f>S2+1</x:f>
        <x:v>46318</x:v>
      </x:c>
      <x:c r="U2" s="532" t="n">
        <x:f>T2+1</x:f>
        <x:v>46319</x:v>
      </x:c>
      <x:c r="V2" s="532" t="n">
        <x:f>U2+1</x:f>
        <x:v>46320</x:v>
      </x:c>
      <x:c r="W2" s="532" t="n">
        <x:f>V2+1</x:f>
        <x:v>46321</x:v>
      </x:c>
      <x:c r="X2" s="532" t="n">
        <x:f>W2+1</x:f>
        <x:v>46322</x:v>
      </x:c>
      <x:c r="Y2" s="532" t="n">
        <x:f>X2+1</x:f>
        <x:v>46323</x:v>
      </x:c>
      <x:c r="Z2" s="532" t="n">
        <x:f>Y2+1</x:f>
        <x:v>46324</x:v>
      </x:c>
      <x:c r="AA2" s="532" t="n">
        <x:f>Z2+1</x:f>
        <x:v>46325</x:v>
      </x:c>
      <x:c r="AB2" s="532" t="n">
        <x:f>AA2+1</x:f>
        <x:v>46326</x:v>
      </x:c>
      <x:c r="AC2" s="532" t="n">
        <x:f>AB2+1</x:f>
        <x:v>46327</x:v>
      </x:c>
      <x:c r="AD2" s="532" t="n">
        <x:f>AC2+1</x:f>
        <x:v>46328</x:v>
      </x:c>
      <x:c r="AE2" s="532" t="n">
        <x:f>AD2+1</x:f>
        <x:v>46329</x:v>
      </x:c>
      <x:c r="AF2" s="532" t="n">
        <x:f>AE2+1</x:f>
        <x:v>46330</x:v>
      </x:c>
      <x:c r="AG2" s="532" t="n">
        <x:f>AF2+1</x:f>
        <x:v>46331</x:v>
      </x:c>
      <x:c r="AH2" s="532" t="n">
        <x:f>AG2+1</x:f>
        <x:v>46332</x:v>
      </x:c>
      <x:c r="AI2" s="532" t="n">
        <x:f>AH2+1</x:f>
        <x:v>46333</x:v>
      </x:c>
      <x:c r="AJ2" s="532" t="n">
        <x:f>AI2+1</x:f>
        <x:v>46334</x:v>
      </x:c>
      <x:c r="AK2" s="532" t="n">
        <x:f>AJ2+1</x:f>
        <x:v>46335</x:v>
      </x:c>
      <x:c r="AL2" s="532" t="n">
        <x:f>AK2+1</x:f>
        <x:v>46336</x:v>
      </x:c>
      <x:c r="AM2" s="532" t="n">
        <x:f>AL2+1</x:f>
        <x:v>46337</x:v>
      </x:c>
      <x:c r="AN2" s="532" t="n">
        <x:f>AM2+1</x:f>
        <x:v>46338</x:v>
      </x:c>
      <x:c r="AO2" s="532" t="n">
        <x:f>AN2+1</x:f>
        <x:v>46339</x:v>
      </x:c>
      <x:c r="AP2" s="532" t="n">
        <x:f>AO2+1</x:f>
        <x:v>46340</x:v>
      </x:c>
      <x:c r="AQ2" s="532" t="n">
        <x:f>AP2+1</x:f>
        <x:v>46341</x:v>
      </x:c>
      <x:c r="AR2" s="532" t="n">
        <x:f>AQ2+1</x:f>
        <x:v>46342</x:v>
      </x:c>
      <x:c r="AS2" s="532" t="n">
        <x:f>AR2+1</x:f>
        <x:v>46343</x:v>
      </x:c>
      <x:c r="AT2" s="532" t="n">
        <x:f>AS2+1</x:f>
        <x:v>46344</x:v>
      </x:c>
      <x:c r="AU2" s="532" t="n">
        <x:f>AT2+1</x:f>
        <x:v>46345</x:v>
      </x:c>
      <x:c r="AV2" s="532" t="n">
        <x:f>AU2+1</x:f>
        <x:v>46346</x:v>
      </x:c>
      <x:c r="AW2" s="532" t="n">
        <x:f>AV2+1</x:f>
        <x:v>46347</x:v>
      </x:c>
      <x:c r="AX2" s="532" t="n">
        <x:f>AW2+1</x:f>
        <x:v>46348</x:v>
      </x:c>
      <x:c r="AY2" s="532" t="n">
        <x:f>AX2+1</x:f>
        <x:v>46349</x:v>
      </x:c>
      <x:c r="AZ2" s="532" t="n">
        <x:f>AY2+1</x:f>
        <x:v>46350</x:v>
      </x:c>
      <x:c r="BA2" s="532" t="n">
        <x:f>AZ2+1</x:f>
        <x:v>46351</x:v>
      </x:c>
      <x:c r="BB2" s="532" t="n">
        <x:f>BA2+1</x:f>
        <x:v>46352</x:v>
      </x:c>
      <x:c r="BC2" s="532" t="n">
        <x:f>BB2+1</x:f>
        <x:v>46353</x:v>
      </x:c>
      <x:c r="BD2" s="532" t="n">
        <x:f>BC2+1</x:f>
        <x:v>46354</x:v>
      </x:c>
      <x:c r="BE2" s="532" t="n">
        <x:f>BD2+1</x:f>
        <x:v>46355</x:v>
      </x:c>
    </x:row>
    <x:row r="3">
      <x:c r="A3" s="405" t="str">
        <x:v>Strategy &amp; Tracking</x:v>
      </x:c>
      <x:c r="B3" s="406" t="str">
        <x:v>Chuẩn hóa tracking và định nghĩa funnel</x:v>
      </x:c>
      <x:c r="C3" s="407" t="str">
        <x:v>Task 1</x:v>
      </x:c>
      <x:c r="D3" s="408" t="str">
        <x:v>GTM / Marketing</x:v>
      </x:c>
      <x:c r="E3" s="533" t="d">
        <x:v>2026-10-12T00:00:00.000Z</x:v>
      </x:c>
      <x:c r="F3" s="533" t="d">
        <x:v>2026-10-15T00:00:00.000Z</x:v>
      </x:c>
      <x:c r="G3" s="410" t="n">
        <x:f t="shared" ref="G3:G12" si="0">F3-E3+1</x:f>
        <x:v>4</x:v>
      </x:c>
      <x:c r="H3" s="411" t="str">
        <x:v>Đang làm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t="str">
        <x:v>Review baseline signup/activation/D7</x:v>
      </x:c>
      <x:c r="C4" s="416" t="str">
        <x:v>Task 2</x:v>
      </x:c>
      <x:c r="D4" s="417" t="str">
        <x:v>GTM / Marketing</x:v>
      </x:c>
      <x:c r="E4" s="534" t="d">
        <x:v>2026-10-14T00:00:00.000Z</x:v>
      </x:c>
      <x:c r="F4" s="534" t="d">
        <x:v>2026-10-17T00:00:00.000Z</x:v>
      </x:c>
      <x:c r="G4" s="419" t="n">
        <x:f t="shared" si="0">F4-E4+1</x:f>
        <x:v>4</x:v>
      </x:c>
      <x:c r="H4" s="411" t="str">
        <x:v>Đang làm</x:v>
      </x:c>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t="str">
        <x:v>Hoàn thiện test matrix P1</x:v>
      </x:c>
      <x:c r="C5" s="416" t="str">
        <x:v>Task 3</x:v>
      </x:c>
      <x:c r="D5" s="419" t="str">
        <x:v>GTM / Marketing</x:v>
      </x:c>
      <x:c r="E5" s="534" t="d">
        <x:v>2026-10-16T00:00:00.000Z</x:v>
      </x:c>
      <x:c r="F5" s="534" t="d">
        <x:v>2026-10-19T00:00:00.000Z</x:v>
      </x:c>
      <x:c r="G5" s="419" t="n">
        <x:f t="shared" si="0">F5-E5+1</x:f>
        <x:v>4</x:v>
      </x:c>
      <x:c r="H5" s="411" t="str">
        <x:v>Đang làm</x:v>
      </x:c>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t="str">
        <x:v>Chốt KPI và nhịp review tuần</x:v>
      </x:c>
      <x:c r="C6" s="427" t="str">
        <x:v>Task 4</x:v>
      </x:c>
      <x:c r="D6" s="428" t="str">
        <x:v>GTM / Marketing</x:v>
      </x:c>
      <x:c r="E6" s="535" t="d">
        <x:v>2026-10-18T00:00:00.000Z</x:v>
      </x:c>
      <x:c r="F6" s="535" t="d">
        <x:v>2026-10-21T00:00:00.000Z</x:v>
      </x:c>
      <x:c r="G6" s="428" t="n">
        <x:f t="shared" si="0">F6-E6+1</x:f>
        <x:v>4</x:v>
      </x:c>
      <x:c r="H6" s="430" t="str">
        <x:v>Đang làm</x:v>
      </x:c>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Content</x:v>
      </x:c>
      <x:c r="B7" s="415" t="str">
        <x:v>Sản xuất content W2</x:v>
      </x:c>
      <x:c r="C7" s="407" t="str">
        <x:v>Task 5</x:v>
      </x:c>
      <x:c r="D7" s="419" t="str">
        <x:v>GTM / Marketing</x:v>
      </x:c>
      <x:c r="E7" s="534" t="d">
        <x:v>2026-10-20T00:00:00.000Z</x:v>
      </x:c>
      <x:c r="F7" s="534" t="d">
        <x:v>2026-10-23T00:00:00.000Z</x:v>
      </x:c>
      <x:c r="G7" s="419" t="n">
        <x:f t="shared" si="0">F7-E7+1</x:f>
        <x:v>4</x:v>
      </x:c>
      <x:c r="H7" s="411" t="str">
        <x:v>Chưa bắt đầu</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t="str">
        <x:v>Demo permission và handoff</x:v>
      </x:c>
      <x:c r="C8" s="416" t="str">
        <x:v>Task 6</x:v>
      </x:c>
      <x:c r="D8" s="419" t="str">
        <x:v>GTM / Marketing</x:v>
      </x:c>
      <x:c r="E8" s="536" t="d">
        <x:v>2026-10-22T00:00:00.000Z</x:v>
      </x:c>
      <x:c r="F8" s="536" t="d">
        <x:v>2026-10-25T00:00:00.000Z</x:v>
      </x:c>
      <x:c r="G8" s="419" t="n">
        <x:f t="shared" si="0">F8-E8+1</x:f>
        <x:v>4</x:v>
      </x:c>
      <x:c r="H8" s="411" t="str">
        <x:v>Chưa bắt đầu</x:v>
      </x:c>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t="str">
        <x:v>Tutorial tạo profile đầu tiên</x:v>
      </x:c>
      <x:c r="C9" s="416" t="str">
        <x:v>Task 7</x:v>
      </x:c>
      <x:c r="D9" s="419" t="str">
        <x:v>GTM / Marketing</x:v>
      </x:c>
      <x:c r="E9" s="536" t="d">
        <x:v>2026-10-24T00:00:00.000Z</x:v>
      </x:c>
      <x:c r="F9" s="536" t="d">
        <x:v>2026-10-27T00:00:00.000Z</x:v>
      </x:c>
      <x:c r="G9" s="419" t="n">
        <x:f t="shared" si="0">F9-E9+1</x:f>
        <x:v>4</x:v>
      </x:c>
      <x:c r="H9" s="411" t="str">
        <x:v>Chưa bắt đầu</x:v>
      </x:c>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t="str">
        <x:v>Lên lịch content W3</x:v>
      </x:c>
      <x:c r="C10" s="416" t="str">
        <x:v>Task 8</x:v>
      </x:c>
      <x:c r="D10" s="419" t="str">
        <x:v>GTM / Marketing</x:v>
      </x:c>
      <x:c r="E10" s="536" t="d">
        <x:v>2026-10-26T00:00:00.000Z</x:v>
      </x:c>
      <x:c r="F10" s="536" t="d">
        <x:v>2026-10-29T00:00:00.000Z</x:v>
      </x:c>
      <x:c r="G10" s="419" t="n">
        <x:f t="shared" si="0">F10-E10+1</x:f>
        <x:v>4</x:v>
      </x:c>
      <x:c r="H10" s="411" t="str">
        <x:v>Chưa bắt đầu</x:v>
      </x:c>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t="str">
        <x:v>Case demo workflow</x:v>
      </x:c>
      <x:c r="C11" s="416" t="str">
        <x:v>Task 9</x:v>
      </x:c>
      <x:c r="D11" s="419" t="str">
        <x:v>GTM / Marketing</x:v>
      </x:c>
      <x:c r="E11" s="536" t="d">
        <x:v>2026-10-28T00:00:00.000Z</x:v>
      </x:c>
      <x:c r="F11" s="536" t="d">
        <x:v>2026-10-31T00:00:00.000Z</x:v>
      </x:c>
      <x:c r="G11" s="419" t="n">
        <x:f t="shared" si="0">F11-E11+1</x:f>
        <x:v>4</x:v>
      </x:c>
      <x:c r="H11" s="411" t="str">
        <x:v>Chưa bắt đầu</x:v>
      </x:c>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t="str">
        <x:v>Review kết quả content</x:v>
      </x:c>
      <x:c r="C12" s="427" t="str">
        <x:v>Task 10</x:v>
      </x:c>
      <x:c r="D12" s="428" t="str">
        <x:v>GTM / Marketing</x:v>
      </x:c>
      <x:c r="E12" s="537" t="d">
        <x:v>2026-10-30T00:00:00.000Z</x:v>
      </x:c>
      <x:c r="F12" s="537" t="d">
        <x:v>2026-11-02T00:00:00.000Z</x:v>
      </x:c>
      <x:c r="G12" s="437" t="n">
        <x:f t="shared" si="0">F12-E12+1</x:f>
        <x:v>4</x:v>
      </x:c>
      <x:c r="H12" s="430" t="str">
        <x:v>Chưa bắt đầu</x:v>
      </x:c>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Community &amp; Outbound</x:v>
      </x:c>
      <x:c r="B13" s="421" t="str">
        <x:v>Chuẩn hóa kho nguồn seeding</x:v>
      </x:c>
      <x:c r="C13" s="407" t="str">
        <x:v>Task 11</x:v>
      </x:c>
      <x:c r="D13" s="419" t="str">
        <x:v>GTM / Marketing</x:v>
      </x:c>
      <x:c r="E13" s="536" t="d">
        <x:v>2026-11-01T00:00:00.000Z</x:v>
      </x:c>
      <x:c r="F13" s="536" t="d">
        <x:v>2026-11-04T00:00:00.000Z</x:v>
      </x:c>
      <x:c r="G13" s="419" t="n">
        <x:f>F13-E13+1</x:f>
        <x:v>4</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t="str">
        <x:v>Review bài bị xóa/từ chối</x:v>
      </x:c>
      <x:c r="C14" s="416" t="str">
        <x:v>Task 12</x:v>
      </x:c>
      <x:c r="D14" s="419" t="str">
        <x:v>GTM / Marketing</x:v>
      </x:c>
      <x:c r="E14" s="536" t="d">
        <x:v>2026-11-03T00:00:00.000Z</x:v>
      </x:c>
      <x:c r="F14" s="536" t="d">
        <x:v>2026-11-06T00:00:00.000Z</x:v>
      </x:c>
      <x:c r="G14" s="419" t="n">
        <x:f>F14-E14+1</x:f>
        <x:v>4</x:v>
      </x:c>
      <x:c r="H14" s="411" t="str">
        <x:v>Chưa bắt đầu</x:v>
      </x:c>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t="str">
        <x:v>Luân phiên Seller/Affiliate/Ads</x:v>
      </x:c>
      <x:c r="C15" s="416" t="str">
        <x:v>Task 13</x:v>
      </x:c>
      <x:c r="D15" s="419" t="str">
        <x:v>GTM / Marketing</x:v>
      </x:c>
      <x:c r="E15" s="536" t="d">
        <x:v>2026-11-05T00:00:00.000Z</x:v>
      </x:c>
      <x:c r="F15" s="536" t="d">
        <x:v>2026-11-08T00:00:00.000Z</x:v>
      </x:c>
      <x:c r="G15" s="419" t="n">
        <x:f>F15-E15+1</x:f>
        <x:v>4</x:v>
      </x:c>
      <x:c r="H15" s="411" t="str">
        <x:v>Chưa bắt đầu</x:v>
      </x:c>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t="str">
        <x:v>Test nêu vấn đề vs chia sẻ cách làm</x:v>
      </x:c>
      <x:c r="C16" s="416" t="str">
        <x:v>Task 14</x:v>
      </x:c>
      <x:c r="D16" s="419" t="str">
        <x:v>GTM / Marketing</x:v>
      </x:c>
      <x:c r="E16" s="536" t="d">
        <x:v>2026-11-07T00:00:00.000Z</x:v>
      </x:c>
      <x:c r="F16" s="536" t="d">
        <x:v>2026-11-10T00:00:00.000Z</x:v>
      </x:c>
      <x:c r="G16" s="419" t="n">
        <x:f>F16-E16+1</x:f>
        <x:v>4</x:v>
      </x:c>
      <x:c r="H16" s="411" t="str">
        <x:v>Chưa bắt đầu</x:v>
      </x:c>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t="str">
        <x:v>Cold outreach Team Ads</x:v>
      </x:c>
      <x:c r="C17" s="416" t="str">
        <x:v>Task 15</x:v>
      </x:c>
      <x:c r="D17" s="419" t="str">
        <x:v>GTM / Marketing</x:v>
      </x:c>
      <x:c r="E17" s="536" t="d">
        <x:v>2026-11-09T00:00:00.000Z</x:v>
      </x:c>
      <x:c r="F17" s="536" t="d">
        <x:v>2026-11-12T00:00:00.000Z</x:v>
      </x:c>
      <x:c r="G17" s="419" t="n">
        <x:f>F17-E17+1</x:f>
        <x:v>4</x:v>
      </x:c>
      <x:c r="H17" s="411" t="str">
        <x:v>Chưa bắt đầu</x:v>
      </x:c>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t="str">
        <x:v>Review hội thoại chất lượng</x:v>
      </x:c>
      <x:c r="C18" s="427" t="str">
        <x:v>Task 16</x:v>
      </x:c>
      <x:c r="D18" s="428" t="str">
        <x:v>GTM / Marketing</x:v>
      </x:c>
      <x:c r="E18" s="537" t="d">
        <x:v>2026-11-11T00:00:00.000Z</x:v>
      </x:c>
      <x:c r="F18" s="537" t="d">
        <x:v>2026-11-14T00:00:00.000Z</x:v>
      </x:c>
      <x:c r="G18" s="428" t="n">
        <x:f>F18-E18+1</x:f>
        <x:v>4</x:v>
      </x:c>
      <x:c r="H18" s="430" t="str">
        <x:v>Chưa bắt đầu</x:v>
      </x:c>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Product &amp; Onboarding</x:v>
      </x:c>
      <x:c r="B19" s="421" t="str">
        <x:v>Audit blocker tạo profile</x:v>
      </x:c>
      <x:c r="C19" s="407" t="str">
        <x:v>Task 17</x:v>
      </x:c>
      <x:c r="D19" s="419" t="str">
        <x:v>Product</x:v>
      </x:c>
      <x:c r="E19" s="536" t="d">
        <x:v>2026-11-13T00:00:00.000Z</x:v>
      </x:c>
      <x:c r="F19" s="536" t="d">
        <x:v>2026-11-16T00:00:00.000Z</x:v>
      </x:c>
      <x:c r="G19" s="419" t="n">
        <x:f>F19-E19+1</x:f>
        <x:v>4</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t="str">
        <x:v>Quick-start theo use case</x:v>
      </x:c>
      <x:c r="C20" s="416" t="str">
        <x:v>Task 18</x:v>
      </x:c>
      <x:c r="D20" s="419" t="str">
        <x:v>Product</x:v>
      </x:c>
      <x:c r="E20" s="536" t="d">
        <x:v>2026-11-15T00:00:00.000Z</x:v>
      </x:c>
      <x:c r="F20" s="536" t="d">
        <x:v>2026-11-18T00:00:00.000Z</x:v>
      </x:c>
      <x:c r="G20" s="419" t="n">
        <x:f>F20-E20+1</x:f>
        <x:v>4</x:v>
      </x:c>
      <x:c r="H20" s="411" t="str">
        <x:v>Chưa bắt đầu</x:v>
      </x:c>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t="str">
        <x:v>Follow-up D7</x:v>
      </x:c>
      <x:c r="C21" s="416" t="str">
        <x:v>Task 19</x:v>
      </x:c>
      <x:c r="D21" s="419" t="str">
        <x:v>Product</x:v>
      </x:c>
      <x:c r="E21" s="536" t="d">
        <x:v>2026-11-17T00:00:00.000Z</x:v>
      </x:c>
      <x:c r="F21" s="536" t="d">
        <x:v>2026-11-20T00:00:00.000Z</x:v>
      </x:c>
      <x:c r="G21" s="419" t="n">
        <x:f>F21-E21+1</x:f>
        <x:v>4</x:v>
      </x:c>
      <x:c r="H21" s="411" t="str">
        <x:v>Chưa bắt đầu</x:v>
      </x:c>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t="str">
        <x:v>Tổng hợp bug/feature request</x:v>
      </x:c>
      <x:c r="C22" s="416" t="str">
        <x:v>Task 20</x:v>
      </x:c>
      <x:c r="D22" s="419" t="str">
        <x:v>Product</x:v>
      </x:c>
      <x:c r="E22" s="536" t="d">
        <x:v>2026-11-19T00:00:00.000Z</x:v>
      </x:c>
      <x:c r="F22" s="536" t="d">
        <x:v>2026-11-22T00:00:00.000Z</x:v>
      </x:c>
      <x:c r="G22" s="419" t="n">
        <x:f>F22-E22+1</x:f>
        <x:v>4</x:v>
      </x:c>
      <x:c r="H22" s="411" t="str">
        <x:v>Chưa bắt đầu</x:v>
      </x:c>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t="str">
        <x:v>Ưu tiên backlog theo pain lặp</x:v>
      </x:c>
      <x:c r="C23" s="416" t="str">
        <x:v>Task 21</x:v>
      </x:c>
      <x:c r="D23" s="419" t="str">
        <x:v>Product</x:v>
      </x:c>
      <x:c r="E23" s="536" t="d">
        <x:v>2026-11-21T00:00:00.000Z</x:v>
      </x:c>
      <x:c r="F23" s="536" t="d">
        <x:v>2026-11-24T00:00:00.000Z</x:v>
      </x:c>
      <x:c r="G23" s="419" t="n">
        <x:f>F23-E23+1</x:f>
        <x:v>4</x:v>
      </x:c>
      <x:c r="H23" s="411" t="str">
        <x:v>Chưa bắt đầu</x:v>
      </x:c>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t="str">
        <x:v>Thông báo lại cho user</x:v>
      </x:c>
      <x:c r="C24" s="427" t="str">
        <x:v>Task 22</x:v>
      </x:c>
      <x:c r="D24" s="428" t="str">
        <x:v>Product</x:v>
      </x:c>
      <x:c r="E24" s="537" t="d">
        <x:v>2026-11-23T00:00:00.000Z</x:v>
      </x:c>
      <x:c r="F24" s="537" t="d">
        <x:v>2026-11-26T00:00:00.000Z</x:v>
      </x:c>
      <x:c r="G24" s="428" t="n">
        <x:f>F24-E24+1</x:f>
        <x:v>4</x:v>
      </x:c>
      <x:c r="H24" s="430" t="str">
        <x:v>Chưa bắt đầu</x:v>
      </x:c>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Sales &amp; Learning</x:v>
      </x:c>
      <x:c r="B25" s="415" t="str">
        <x:v>Bổ sung nguồn và ICP user</x:v>
      </x:c>
      <x:c r="C25" s="407" t="str">
        <x:v>Task 23</x:v>
      </x:c>
      <x:c r="D25" s="448" t="str">
        <x:v>Sales/CS</x:v>
      </x:c>
      <x:c r="E25" s="534" t="d">
        <x:v>2026-11-25T00:00:00.000Z</x:v>
      </x:c>
      <x:c r="F25" s="534" t="d">
        <x:v>2026-11-28T00:00:00.000Z</x:v>
      </x:c>
      <x:c r="G25" s="419" t="n">
        <x:f t="shared" ref="G25:G30" si="1">F25-E25+1</x:f>
        <x:v>4</x:v>
      </x:c>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t="str">
        <x:v>Follow-up user mới trong 24h</x:v>
      </x:c>
      <x:c r="C26" s="416" t="str">
        <x:v>Task 24</x:v>
      </x:c>
      <x:c r="D26" s="419" t="str">
        <x:v>Sales/CS</x:v>
      </x:c>
      <x:c r="E26" s="536" t="d">
        <x:v>2026-11-27T00:00:00.000Z</x:v>
      </x:c>
      <x:c r="F26" s="536" t="d">
        <x:v>2026-11-30T00:00:00.000Z</x:v>
      </x:c>
      <x:c r="G26" s="419" t="n">
        <x:f t="shared" si="1">F26-E26+1</x:f>
        <x:v>4</x:v>
      </x:c>
      <x:c r="H26" s="411" t="str">
        <x:v>Chưa bắt đầu</x:v>
      </x:c>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t="str">
        <x:v>Ghi lý do chưa dùng</x:v>
      </x:c>
      <x:c r="C27" s="416" t="str">
        <x:v>Task 25</x:v>
      </x:c>
      <x:c r="D27" s="419" t="str">
        <x:v>Sales/CS</x:v>
      </x:c>
      <x:c r="E27" s="536" t="d">
        <x:v>2026-11-29T00:00:00.000Z</x:v>
      </x:c>
      <x:c r="F27" s="536" t="d">
        <x:v>2026-12-02T00:00:00.000Z</x:v>
      </x:c>
      <x:c r="G27" s="419" t="n">
        <x:f t="shared" si="1">F27-E27+1</x:f>
        <x:v>4</x:v>
      </x:c>
      <x:c r="H27" s="411" t="str">
        <x:v>Chưa bắt đầu</x:v>
      </x:c>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t="str">
        <x:v>Qualify signal thương mại</x:v>
      </x:c>
      <x:c r="C28" s="416" t="str">
        <x:v>Task 26</x:v>
      </x:c>
      <x:c r="D28" s="419" t="str">
        <x:v>Sales/CS</x:v>
      </x:c>
      <x:c r="E28" s="536" t="d">
        <x:v>2026-12-01T00:00:00.000Z</x:v>
      </x:c>
      <x:c r="F28" s="536" t="d">
        <x:v>2026-12-04T00:00:00.000Z</x:v>
      </x:c>
      <x:c r="G28" s="419" t="n">
        <x:f t="shared" si="1">F28-E28+1</x:f>
        <x:v>4</x:v>
      </x:c>
      <x:c r="H28" s="411" t="str">
        <x:v>Chưa bắt đầu</x:v>
      </x:c>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t="str">
        <x:v>Theo dõi paid/revenue</x:v>
      </x:c>
      <x:c r="C29" s="416" t="str">
        <x:v>Task 27</x:v>
      </x:c>
      <x:c r="D29" s="419" t="str">
        <x:v>Sales/CS</x:v>
      </x:c>
      <x:c r="E29" s="536" t="d">
        <x:v>2026-12-03T00:00:00.000Z</x:v>
      </x:c>
      <x:c r="F29" s="536" t="d">
        <x:v>2026-12-06T00:00:00.000Z</x:v>
      </x:c>
      <x:c r="G29" s="419" t="n">
        <x:f t="shared" si="1">F29-E29+1</x:f>
        <x:v>4</x:v>
      </x:c>
      <x:c r="H29" s="411" t="str">
        <x:v>Chưa bắt đầu</x:v>
      </x:c>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t="str">
        <x:v>Review objection/lost reason</x:v>
      </x:c>
      <x:c r="C30" s="427" t="str">
        <x:v>Task 28</x:v>
      </x:c>
      <x:c r="D30" s="428" t="str">
        <x:v>Sales/CS</x:v>
      </x:c>
      <x:c r="E30" s="537" t="d">
        <x:v>2026-12-05T00:00:00.000Z</x:v>
      </x:c>
      <x:c r="F30" s="537" t="d">
        <x:v>2026-12-08T00:00:00.000Z</x:v>
      </x:c>
      <x:c r="G30" s="437" t="n">
        <x:f t="shared" si="1">F30-E30+1</x:f>
        <x:v>4</x:v>
      </x:c>
      <x:c r="H30" s="430" t="str">
        <x:v>Chưa bắt đầu</x:v>
      </x:c>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t="str">
        <x:v>Review &amp; Scale</x:v>
      </x:c>
      <x:c r="B31" s="421" t="str">
        <x:v>Review KEEP/SCALE/IMPROVE/PAUSE</x:v>
      </x:c>
      <x:c r="C31" s="407" t="str">
        <x:v>Task 29</x:v>
      </x:c>
      <x:c r="D31" s="419" t="str">
        <x:v>GTM / Marketing</x:v>
      </x:c>
      <x:c r="E31" s="536" t="d">
        <x:v>2026-12-07T00:00:00.000Z</x:v>
      </x:c>
      <x:c r="F31" s="536" t="d">
        <x:v>2026-12-10T00:00:00.000Z</x:v>
      </x:c>
      <x:c r="G31" s="419" t="n">
        <x:f>F31-E31+1</x:f>
        <x:v>4</x:v>
      </x:c>
      <x:c r="H31" s="411" t="str">
        <x:v>Chưa bắt đầu</x:v>
      </x:c>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t="str">
        <x:v>Chọn 1–2 ICP nổi bật</x:v>
      </x:c>
      <x:c r="C32" s="416" t="str">
        <x:v>Task 30</x:v>
      </x:c>
      <x:c r="D32" s="419" t="str">
        <x:v>GTM / Marketing</x:v>
      </x:c>
      <x:c r="E32" s="536" t="d">
        <x:v>2026-12-09T00:00:00.000Z</x:v>
      </x:c>
      <x:c r="F32" s="536" t="d">
        <x:v>2026-12-12T00:00:00.000Z</x:v>
      </x:c>
      <x:c r="G32" s="419" t="n">
        <x:f>F32-E32+1</x:f>
        <x:v>4</x:v>
      </x:c>
      <x:c r="H32" s="411" t="str">
        <x:v>Chưa bắt đầu</x:v>
      </x:c>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t="str">
        <x:v>Chốt case study đầu tiên</x:v>
      </x:c>
      <x:c r="C33" s="416" t="str">
        <x:v>Task 31</x:v>
      </x:c>
      <x:c r="D33" s="419" t="str">
        <x:v>GTM / Marketing</x:v>
      </x:c>
      <x:c r="E33" s="536" t="d">
        <x:v>2026-12-11T00:00:00.000Z</x:v>
      </x:c>
      <x:c r="F33" s="536" t="d">
        <x:v>2026-12-14T00:00:00.000Z</x:v>
      </x:c>
      <x:c r="G33" s="419" t="n">
        <x:f>F33-E33+1</x:f>
        <x:v>4</x:v>
      </x:c>
      <x:c r="H33" s="411" t="str">
        <x:v>Chưa bắt đầu</x:v>
      </x:c>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t="str">
        <x:v>Test retarget</x:v>
      </x:c>
      <x:c r="C34" s="416" t="str">
        <x:v>Task 32</x:v>
      </x:c>
      <x:c r="D34" s="419" t="str">
        <x:v>GTM / Marketing</x:v>
      </x:c>
      <x:c r="E34" s="536" t="d">
        <x:v>2026-12-13T00:00:00.000Z</x:v>
      </x:c>
      <x:c r="F34" s="536" t="d">
        <x:v>2026-12-16T00:00:00.000Z</x:v>
      </x:c>
      <x:c r="G34" s="419" t="n">
        <x:f>F34-E34+1</x:f>
        <x:v>4</x:v>
      </x:c>
      <x:c r="H34" s="411" t="str">
        <x:v>Chưa bắt đầu</x:v>
      </x:c>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t="str">
        <x:v>Test trigger nâng cấp</x:v>
      </x:c>
      <x:c r="C35" s="416" t="str">
        <x:v>Task 33</x:v>
      </x:c>
      <x:c r="D35" s="419" t="str">
        <x:v>GTM / Marketing</x:v>
      </x:c>
      <x:c r="E35" s="536" t="d">
        <x:v>2026-12-15T00:00:00.000Z</x:v>
      </x:c>
      <x:c r="F35" s="536" t="d">
        <x:v>2026-12-18T00:00:00.000Z</x:v>
      </x:c>
      <x:c r="G35" s="419" t="n">
        <x:f>F35-E35+1</x:f>
        <x:v>4</x:v>
      </x:c>
      <x:c r="H35" s="411" t="str">
        <x:v>Chưa bắt đầu</x:v>
      </x:c>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t="str">
        <x:v>Lập kế hoạch vòng tiếp theo</x:v>
      </x:c>
      <x:c r="C36" s="427" t="str">
        <x:v>Task 34</x:v>
      </x:c>
      <x:c r="D36" s="428" t="str">
        <x:v>GTM / Marketing</x:v>
      </x:c>
      <x:c r="E36" s="537" t="d">
        <x:v>2026-12-17T00:00:00.000Z</x:v>
      </x:c>
      <x:c r="F36" s="537" t="d">
        <x:v>2026-12-20T00:00:00.000Z</x:v>
      </x:c>
      <x:c r="G36" s="428" t="n">
        <x:f>F36-E36+1</x:f>
        <x:v>4</x:v>
      </x:c>
      <x:c r="H36" s="430" t="str">
        <x:v>Chưa bắt đầu</x:v>
      </x:c>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